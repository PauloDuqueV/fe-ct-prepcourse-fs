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1" authorId="0">
      <text>
        <r>
          <rPr>
            <sz val="10"/>
            <rFont val="Arial"/>
            <family val="2"/>
          </rPr>
          <t xml:space="preserve">Usuario:
FOTO</t>
        </r>
      </text>
    </comment>
    <comment ref="A22" authorId="0">
      <text>
        <r>
          <rPr>
            <sz val="10"/>
            <rFont val="Arial"/>
            <family val="2"/>
          </rPr>
          <t xml:space="preserve">Usuario:
FOTO</t>
        </r>
      </text>
    </comment>
    <comment ref="A24" authorId="0">
      <text>
        <r>
          <rPr>
            <sz val="10"/>
            <rFont val="Arial"/>
            <family val="2"/>
          </rPr>
          <t xml:space="preserve">Usuario:
FOTOS</t>
        </r>
      </text>
    </comment>
    <comment ref="G3" authorId="0">
      <text>
        <r>
          <rPr>
            <sz val="10"/>
            <rFont val="Arial"/>
            <family val="2"/>
          </rPr>
          <t xml:space="preserve">Estimado: no existe NEVERA ELECTROLUX en la base; se usó el valor de neveras de COCINA (HACEB) $120.000</t>
        </r>
      </text>
    </comment>
    <comment ref="G56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60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61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63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64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72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75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112" authorId="0">
      <text>
        <r>
          <rPr>
            <sz val="10"/>
            <rFont val="Arial"/>
            <family val="2"/>
          </rPr>
          <t xml:space="preserve">Estimado: se tomó TERMOHIGROMETRO de CENTRAL DE RESIDUOS ($70.000)</t>
        </r>
      </text>
    </comment>
    <comment ref="G115" authorId="0">
      <text>
        <r>
          <rPr>
            <sz val="10"/>
            <rFont val="Arial"/>
            <family val="2"/>
          </rPr>
          <t xml:space="preserve">Estimado: tomado como FONENDO ALPK2 ($60.000)</t>
        </r>
      </text>
    </comment>
    <comment ref="G119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120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124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127" authorId="0">
      <text>
        <r>
          <rPr>
            <sz val="10"/>
            <rFont val="Arial"/>
            <family val="2"/>
          </rPr>
          <t xml:space="preserve">Equipo no encontrado en la base de datos: ingresar valor</t>
        </r>
      </text>
    </comment>
    <comment ref="G132" authorId="0">
      <text>
        <r>
          <rPr>
            <sz val="10"/>
            <rFont val="Arial"/>
            <family val="2"/>
          </rPr>
          <t xml:space="preserve">Estimado: se tomó LAMPARA CUELLO DE CISNE WELCH ALLYN de LABORATORIO ($95.000)</t>
        </r>
      </text>
    </comment>
    <comment ref="G138" authorId="0">
      <text>
        <r>
          <rPr>
            <sz val="10"/>
            <rFont val="Arial"/>
            <family val="2"/>
          </rPr>
          <t xml:space="preserve">La serie SN246BE0000445 corresponde en la base al AGITADOR DE MAZINNI DLAB ($60.000)</t>
        </r>
      </text>
    </comment>
    <comment ref="G139" authorId="0">
      <text>
        <r>
          <rPr>
            <sz val="10"/>
            <rFont val="Arial"/>
            <family val="2"/>
          </rPr>
          <t xml:space="preserve">Estimado: se tomó INCUBADORA LABORATORIO ($95.000)</t>
        </r>
      </text>
    </comment>
  </commentList>
</comments>
</file>

<file path=xl/sharedStrings.xml><?xml version="1.0" encoding="utf-8"?>
<sst xmlns="http://schemas.openxmlformats.org/spreadsheetml/2006/main" count="646" uniqueCount="336">
  <si>
    <t xml:space="preserve">EQUIPO</t>
  </si>
  <si>
    <t xml:space="preserve">PLACA</t>
  </si>
  <si>
    <t xml:space="preserve">MARCA</t>
  </si>
  <si>
    <t xml:space="preserve">MODELO</t>
  </si>
  <si>
    <t xml:space="preserve">SERIE</t>
  </si>
  <si>
    <t xml:space="preserve">UBICACIÓN</t>
  </si>
  <si>
    <t xml:space="preserve">MMT PREVENTIVO</t>
  </si>
  <si>
    <t xml:space="preserve">IVA</t>
  </si>
  <si>
    <t xml:space="preserve">TOTAL</t>
  </si>
  <si>
    <t xml:space="preserve">REGULADOR</t>
  </si>
  <si>
    <t xml:space="preserve">IMETAN</t>
  </si>
  <si>
    <t xml:space="preserve">OKL 189</t>
  </si>
  <si>
    <t xml:space="preserve">NEVERA</t>
  </si>
  <si>
    <t xml:space="preserve">ELECTROLUX</t>
  </si>
  <si>
    <t xml:space="preserve">EFC153NPZW</t>
  </si>
  <si>
    <t xml:space="preserve">COCINA</t>
  </si>
  <si>
    <t xml:space="preserve">HAIER</t>
  </si>
  <si>
    <t xml:space="preserve">HYC-118A</t>
  </si>
  <si>
    <t xml:space="preserve">BE069 7E1T0 0QEQC D0003</t>
  </si>
  <si>
    <t xml:space="preserve">DROGUERIA</t>
  </si>
  <si>
    <t xml:space="preserve">OXIMETRO DE PULSO</t>
  </si>
  <si>
    <t xml:space="preserve">EDAN</t>
  </si>
  <si>
    <t xml:space="preserve">H100B</t>
  </si>
  <si>
    <t xml:space="preserve">360101-M24612400023</t>
  </si>
  <si>
    <t xml:space="preserve">URGENCIAS</t>
  </si>
  <si>
    <t xml:space="preserve">MONITOR DE SIGNOS VITALES</t>
  </si>
  <si>
    <t xml:space="preserve">MINDRAY</t>
  </si>
  <si>
    <t xml:space="preserve">EPM10</t>
  </si>
  <si>
    <t xml:space="preserve">AC7-04009402</t>
  </si>
  <si>
    <t xml:space="preserve">UMEC 10</t>
  </si>
  <si>
    <t xml:space="preserve">KN-29153331</t>
  </si>
  <si>
    <t xml:space="preserve"> CENTRIFUGA ELECTRICA PARA 8 TUBOS</t>
  </si>
  <si>
    <t xml:space="preserve">INDULAB</t>
  </si>
  <si>
    <t xml:space="preserve">2014DM-0012039</t>
  </si>
  <si>
    <t xml:space="preserve">LABORATORIO</t>
  </si>
  <si>
    <t xml:space="preserve">TERMOHIGROMETRO</t>
  </si>
  <si>
    <t xml:space="preserve">KTJ</t>
  </si>
  <si>
    <t xml:space="preserve">TA318</t>
  </si>
  <si>
    <t xml:space="preserve">N/A</t>
  </si>
  <si>
    <t xml:space="preserve">AMBULANCIA OKL189</t>
  </si>
  <si>
    <t xml:space="preserve">HTC</t>
  </si>
  <si>
    <t xml:space="preserve">HTC-2</t>
  </si>
  <si>
    <t xml:space="preserve">ODONTOLOGÍA</t>
  </si>
  <si>
    <t xml:space="preserve">TENSIÓMETRO DE PARED</t>
  </si>
  <si>
    <t xml:space="preserve">RIESTER</t>
  </si>
  <si>
    <t xml:space="preserve">BIGBEN ROUND</t>
  </si>
  <si>
    <t xml:space="preserve">ENFERMERÍA / PYP</t>
  </si>
  <si>
    <t xml:space="preserve">ASSIST</t>
  </si>
  <si>
    <t xml:space="preserve">VST-AM2</t>
  </si>
  <si>
    <t xml:space="preserve">20211100142</t>
  </si>
  <si>
    <t xml:space="preserve">GENTEC</t>
  </si>
  <si>
    <t xml:space="preserve">284-MA</t>
  </si>
  <si>
    <t xml:space="preserve">LAMPARA DE FOTOCURADO LED  </t>
  </si>
  <si>
    <t xml:space="preserve">DTE  LIGHT</t>
  </si>
  <si>
    <t xml:space="preserve">DJ-0500100-A5</t>
  </si>
  <si>
    <t xml:space="preserve">2018DM-0018582</t>
  </si>
  <si>
    <t xml:space="preserve">HIGIENE ORAL</t>
  </si>
  <si>
    <t xml:space="preserve">LAMPARA DE FOTOCURADO LED FROGENT (LED-F)</t>
  </si>
  <si>
    <t xml:space="preserve">LED</t>
  </si>
  <si>
    <t xml:space="preserve">L2180054F</t>
  </si>
  <si>
    <t xml:space="preserve">ODONTOLOGIA</t>
  </si>
  <si>
    <t xml:space="preserve">LAMPARA DE FOTOCURADO</t>
  </si>
  <si>
    <t xml:space="preserve">WOODPECKER</t>
  </si>
  <si>
    <t xml:space="preserve">B-CURE</t>
  </si>
  <si>
    <t xml:space="preserve">L2450609BC</t>
  </si>
  <si>
    <t xml:space="preserve">INCUBADORA LABORATORIO</t>
  </si>
  <si>
    <t xml:space="preserve">MEMMERT</t>
  </si>
  <si>
    <t xml:space="preserve">FONENDO ADULTO</t>
  </si>
  <si>
    <t xml:space="preserve">ALPK2</t>
  </si>
  <si>
    <t xml:space="preserve">FT-801</t>
  </si>
  <si>
    <t xml:space="preserve">AMBULANCIA OKL 189</t>
  </si>
  <si>
    <t xml:space="preserve">CAVITRON</t>
  </si>
  <si>
    <t xml:space="preserve">WOODPECKER DTE</t>
  </si>
  <si>
    <t xml:space="preserve">D5 LED</t>
  </si>
  <si>
    <t xml:space="preserve">S2380065D5L</t>
  </si>
  <si>
    <t xml:space="preserve">2018DM-0018677</t>
  </si>
  <si>
    <t xml:space="preserve">BASCULA </t>
  </si>
  <si>
    <t xml:space="preserve">VALCRI</t>
  </si>
  <si>
    <t xml:space="preserve">KY01131</t>
  </si>
  <si>
    <t xml:space="preserve">CONSULTORIO 2</t>
  </si>
  <si>
    <t xml:space="preserve">PIEZA SCALER D3 LET DTE </t>
  </si>
  <si>
    <t xml:space="preserve">DTE</t>
  </si>
  <si>
    <t xml:space="preserve">S2180004D3L</t>
  </si>
  <si>
    <t xml:space="preserve">MICROSCOPIO</t>
  </si>
  <si>
    <t xml:space="preserve">OLYMPUS</t>
  </si>
  <si>
    <t xml:space="preserve">D3 LED</t>
  </si>
  <si>
    <t xml:space="preserve">2180004D3L</t>
  </si>
  <si>
    <t xml:space="preserve">AIRE ACONDICONADO </t>
  </si>
  <si>
    <t xml:space="preserve">CIAC</t>
  </si>
  <si>
    <t xml:space="preserve">VACUNACION</t>
  </si>
  <si>
    <t xml:space="preserve">PESA BEBE ELECTRÓNICA</t>
  </si>
  <si>
    <t xml:space="preserve">SECA</t>
  </si>
  <si>
    <t xml:space="preserve">UNIDAD ODONTÓLOGICA PORTATIL</t>
  </si>
  <si>
    <t xml:space="preserve">GAD Dental</t>
  </si>
  <si>
    <t xml:space="preserve">Full Aries Simplex 1500 Nacional</t>
  </si>
  <si>
    <t xml:space="preserve">UNIDAD ODONTÓLOGICA ELECTRÓNICA </t>
  </si>
  <si>
    <t xml:space="preserve">TERMOMETRO INFRAROJO</t>
  </si>
  <si>
    <t xml:space="preserve">BERRC0M</t>
  </si>
  <si>
    <t xml:space="preserve">JXB-178</t>
  </si>
  <si>
    <t xml:space="preserve">M02200508061</t>
  </si>
  <si>
    <t xml:space="preserve">EXTRAMURAL - EBS</t>
  </si>
  <si>
    <t xml:space="preserve">M05200573678</t>
  </si>
  <si>
    <t xml:space="preserve">M05200573683</t>
  </si>
  <si>
    <t xml:space="preserve">M03200517058</t>
  </si>
  <si>
    <t xml:space="preserve">THC</t>
  </si>
  <si>
    <t xml:space="preserve">TH-02</t>
  </si>
  <si>
    <t xml:space="preserve">SERVICIO FARMACEUTICO</t>
  </si>
  <si>
    <t xml:space="preserve">JH2060</t>
  </si>
  <si>
    <t xml:space="preserve">BIOTELECTRONICA</t>
  </si>
  <si>
    <t xml:space="preserve">7027 - LOTE: 220730</t>
  </si>
  <si>
    <t xml:space="preserve">SALA DE PARTOS</t>
  </si>
  <si>
    <t xml:space="preserve">AMBULANCIA #2</t>
  </si>
  <si>
    <t xml:space="preserve">TENSIOMETRO PORTATIL</t>
  </si>
  <si>
    <t xml:space="preserve">23-00327</t>
  </si>
  <si>
    <t xml:space="preserve">WELCH ALLYN</t>
  </si>
  <si>
    <t xml:space="preserve">DS44</t>
  </si>
  <si>
    <t xml:space="preserve">211016132538</t>
  </si>
  <si>
    <t xml:space="preserve">CONSULTORIO 4</t>
  </si>
  <si>
    <t xml:space="preserve">479199</t>
  </si>
  <si>
    <t xml:space="preserve">CONSULTA EXTERNA</t>
  </si>
  <si>
    <t xml:space="preserve">TENSIOMETRO ADULTO </t>
  </si>
  <si>
    <t xml:space="preserve">LENZ</t>
  </si>
  <si>
    <t xml:space="preserve">XB11300</t>
  </si>
  <si>
    <t xml:space="preserve">PULSOXIMETRO DE DEDO</t>
  </si>
  <si>
    <t xml:space="preserve">LIFEN</t>
  </si>
  <si>
    <t xml:space="preserve">LT-F20</t>
  </si>
  <si>
    <t xml:space="preserve">LARINGOSCOPIO Y VALVAS</t>
  </si>
  <si>
    <t xml:space="preserve">Riester</t>
  </si>
  <si>
    <t xml:space="preserve">PESA BEBE</t>
  </si>
  <si>
    <t xml:space="preserve">BADECOL</t>
  </si>
  <si>
    <t xml:space="preserve">ACS 20B- YE</t>
  </si>
  <si>
    <t xml:space="preserve">4232006220075</t>
  </si>
  <si>
    <t xml:space="preserve">OXÍMETRO DE PULSO</t>
  </si>
  <si>
    <t xml:space="preserve">choiceMMed</t>
  </si>
  <si>
    <t xml:space="preserve">MD300C29</t>
  </si>
  <si>
    <t xml:space="preserve">CONSULTORIO</t>
  </si>
  <si>
    <t xml:space="preserve">H100B10310712903</t>
  </si>
  <si>
    <t xml:space="preserve">CONSULTORIO 3</t>
  </si>
  <si>
    <t xml:space="preserve">OTOSCOPIO </t>
  </si>
  <si>
    <t xml:space="preserve">OFTALMOSCOPIO-OTOSCOPIO </t>
  </si>
  <si>
    <t xml:space="preserve">N.D</t>
  </si>
  <si>
    <t xml:space="preserve">VALVAS LARINGOSCOPIO</t>
  </si>
  <si>
    <t xml:space="preserve">BASTER</t>
  </si>
  <si>
    <t xml:space="preserve">HACEB</t>
  </si>
  <si>
    <t xml:space="preserve">AU120XY1</t>
  </si>
  <si>
    <t xml:space="preserve">240SEME</t>
  </si>
  <si>
    <t xml:space="preserve">EMY70C</t>
  </si>
  <si>
    <t xml:space="preserve">AE-1336A</t>
  </si>
  <si>
    <t xml:space="preserve">611608H94</t>
  </si>
  <si>
    <t xml:space="preserve">NEBULIZADOR</t>
  </si>
  <si>
    <t xml:space="preserve">GMD Nube3000</t>
  </si>
  <si>
    <t xml:space="preserve">GMRN457-12</t>
  </si>
  <si>
    <t xml:space="preserve">MONITOR FETAL</t>
  </si>
  <si>
    <t xml:space="preserve">F3</t>
  </si>
  <si>
    <t xml:space="preserve">560034-M23301350020</t>
  </si>
  <si>
    <t xml:space="preserve">URGENCIAS/SALA DE OBSERVACIÓN GINECOOBSTETRICIA</t>
  </si>
  <si>
    <t xml:space="preserve">AC7-04009403</t>
  </si>
  <si>
    <t xml:space="preserve">ARCHIVOS</t>
  </si>
  <si>
    <t xml:space="preserve">CARRO REANIMACIÓN</t>
  </si>
  <si>
    <t xml:space="preserve">HOSPITALIZACION</t>
  </si>
  <si>
    <t xml:space="preserve">KN-27149093</t>
  </si>
  <si>
    <t xml:space="preserve">HEAL FORCE </t>
  </si>
  <si>
    <t xml:space="preserve">CLASSIC-90</t>
  </si>
  <si>
    <t xml:space="preserve">J0100SG01609</t>
  </si>
  <si>
    <t xml:space="preserve">KIT FONENDOSCOPIO/TENSIÓMETRO</t>
  </si>
  <si>
    <t xml:space="preserve">GMD</t>
  </si>
  <si>
    <t xml:space="preserve">TENSIÓMETRO: GMD20</t>
  </si>
  <si>
    <t xml:space="preserve">TENSIÓMETRO: J2323165</t>
  </si>
  <si>
    <t xml:space="preserve">ESTETOSCOPIO</t>
  </si>
  <si>
    <t xml:space="preserve">LORD</t>
  </si>
  <si>
    <t xml:space="preserve">EQUIPO HEMATOLOGIA 3 PARTES </t>
  </si>
  <si>
    <t xml:space="preserve">DIATRON</t>
  </si>
  <si>
    <t xml:space="preserve">A3N-1</t>
  </si>
  <si>
    <t xml:space="preserve">2022DM-0026114</t>
  </si>
  <si>
    <t xml:space="preserve">ELECTROCARDIÓGRAFO</t>
  </si>
  <si>
    <t xml:space="preserve">BENEHEART R3</t>
  </si>
  <si>
    <t xml:space="preserve">FK-4A041627</t>
  </si>
  <si>
    <t xml:space="preserve">DOPPLER FETAL</t>
  </si>
  <si>
    <t xml:space="preserve">SONOTRAX BASIC A</t>
  </si>
  <si>
    <t xml:space="preserve">304133-M14701200056</t>
  </si>
  <si>
    <t xml:space="preserve">CONSULTORIO 1</t>
  </si>
  <si>
    <t xml:space="preserve">BIOCARE</t>
  </si>
  <si>
    <t xml:space="preserve">FM-200</t>
  </si>
  <si>
    <t xml:space="preserve">C1213060377</t>
  </si>
  <si>
    <t xml:space="preserve">CS 1</t>
  </si>
  <si>
    <t xml:space="preserve">DESFIBRILADOR EXTERNO AUTOMATICO (DEA)</t>
  </si>
  <si>
    <t xml:space="preserve">CU MEDICAL SYSTEMS</t>
  </si>
  <si>
    <t xml:space="preserve">CU-5P1 AUTO</t>
  </si>
  <si>
    <t xml:space="preserve">61W05B01026</t>
  </si>
  <si>
    <t xml:space="preserve">DESFIBRILADOR</t>
  </si>
  <si>
    <t xml:space="preserve">BENEHEART C1A</t>
  </si>
  <si>
    <t xml:space="preserve">AF3-52053666</t>
  </si>
  <si>
    <t xml:space="preserve">AMBULANCIA NSR 007</t>
  </si>
  <si>
    <t xml:space="preserve">CONGELADOR HORIZONTAL</t>
  </si>
  <si>
    <t xml:space="preserve">VESTFROST</t>
  </si>
  <si>
    <t xml:space="preserve">VLS350</t>
  </si>
  <si>
    <t xml:space="preserve">MELNG BIOMEDICAL</t>
  </si>
  <si>
    <t xml:space="preserve">DW-FL90</t>
  </si>
  <si>
    <t xml:space="preserve">CENTRIFUGA ELECTRICA PARA 12 TUBOS</t>
  </si>
  <si>
    <t xml:space="preserve">C-04</t>
  </si>
  <si>
    <t xml:space="preserve">CAMILLA CONSULTORIO CON ESTRIBOS</t>
  </si>
  <si>
    <t xml:space="preserve">MUEBLES HOSPITALARIOS</t>
  </si>
  <si>
    <t xml:space="preserve">MB-16-4</t>
  </si>
  <si>
    <t xml:space="preserve">CC-9545</t>
  </si>
  <si>
    <t xml:space="preserve">2024DM-0012181-R1</t>
  </si>
  <si>
    <t xml:space="preserve">BOMBA DE INFUSION</t>
  </si>
  <si>
    <t xml:space="preserve">HAWKMED</t>
  </si>
  <si>
    <t xml:space="preserve">HAWL-i1</t>
  </si>
  <si>
    <t xml:space="preserve">04008448</t>
  </si>
  <si>
    <t xml:space="preserve">MEDCAPTAIN</t>
  </si>
  <si>
    <t xml:space="preserve">MP-60</t>
  </si>
  <si>
    <t xml:space="preserve">BASCULA DIGITAL ADULTO</t>
  </si>
  <si>
    <t xml:space="preserve">EB7010</t>
  </si>
  <si>
    <t xml:space="preserve">CONSULTORIO 5</t>
  </si>
  <si>
    <t xml:space="preserve">BAÑO MARIA</t>
  </si>
  <si>
    <t xml:space="preserve">AUTOCLAVE</t>
  </si>
  <si>
    <t xml:space="preserve">AUTOMAT</t>
  </si>
  <si>
    <t xml:space="preserve">25-A12-010</t>
  </si>
  <si>
    <t xml:space="preserve"> 2018DM-0018563</t>
  </si>
  <si>
    <t xml:space="preserve">ASPIRADOR </t>
  </si>
  <si>
    <t xml:space="preserve">KONGSUNG</t>
  </si>
  <si>
    <t xml:space="preserve">9E-B</t>
  </si>
  <si>
    <t xml:space="preserve">Ma2204010030</t>
  </si>
  <si>
    <t xml:space="preserve">AMBULANCIA ODU 086</t>
  </si>
  <si>
    <t xml:space="preserve">ASPIRADOR</t>
  </si>
  <si>
    <t xml:space="preserve">JMAG</t>
  </si>
  <si>
    <t xml:space="preserve">SXT5A</t>
  </si>
  <si>
    <t xml:space="preserve">L9-24- 288</t>
  </si>
  <si>
    <t xml:space="preserve">SALA DE PARTO</t>
  </si>
  <si>
    <t xml:space="preserve"> </t>
  </si>
  <si>
    <t xml:space="preserve">STAGE</t>
  </si>
  <si>
    <t xml:space="preserve">H003-C</t>
  </si>
  <si>
    <t xml:space="preserve">MO2505140210189</t>
  </si>
  <si>
    <t xml:space="preserve">JMAH</t>
  </si>
  <si>
    <t xml:space="preserve">SXT-5A </t>
  </si>
  <si>
    <t xml:space="preserve">L9*24289</t>
  </si>
  <si>
    <t xml:space="preserve">CARRO DE REANIMACIÓN</t>
  </si>
  <si>
    <t xml:space="preserve">L9-24- 222</t>
  </si>
  <si>
    <t xml:space="preserve">TERMOHIGROMETRO DIGITAL CALIBRADO</t>
  </si>
  <si>
    <t xml:space="preserve">biotelectrocnica</t>
  </si>
  <si>
    <t xml:space="preserve">TM - 01</t>
  </si>
  <si>
    <t xml:space="preserve">THC02</t>
  </si>
  <si>
    <t xml:space="preserve">ESTERILIZACION</t>
  </si>
  <si>
    <t xml:space="preserve">VACUNACIÓN</t>
  </si>
  <si>
    <t xml:space="preserve">HT-02</t>
  </si>
  <si>
    <t xml:space="preserve">ZONA DE DESECHOS</t>
  </si>
  <si>
    <t xml:space="preserve">Ambulancia OKL 189</t>
  </si>
  <si>
    <t xml:space="preserve"> ESTETOSCOPIO</t>
  </si>
  <si>
    <t xml:space="preserve">ALRKE</t>
  </si>
  <si>
    <t xml:space="preserve">SN25-00227</t>
  </si>
  <si>
    <t xml:space="preserve">DM</t>
  </si>
  <si>
    <t xml:space="preserve">HS-20C </t>
  </si>
  <si>
    <t xml:space="preserve">TENSIOMETRO DE PARED</t>
  </si>
  <si>
    <t xml:space="preserve">LARINGOSCOPIO</t>
  </si>
  <si>
    <t xml:space="preserve">Greenline</t>
  </si>
  <si>
    <t xml:space="preserve"> FOTOTERAPIA DE BILIRRUBINA NEONATAL</t>
  </si>
  <si>
    <t xml:space="preserve">DAVI</t>
  </si>
  <si>
    <t xml:space="preserve">HKN-93-HD-ML1</t>
  </si>
  <si>
    <t xml:space="preserve">SN: A24BB0006033</t>
  </si>
  <si>
    <t xml:space="preserve">TERMOMETRO</t>
  </si>
  <si>
    <t xml:space="preserve">PERSON</t>
  </si>
  <si>
    <t xml:space="preserve">XL-F02</t>
  </si>
  <si>
    <t xml:space="preserve">SN:XLB09695</t>
  </si>
  <si>
    <t xml:space="preserve">SN:XLB09682</t>
  </si>
  <si>
    <t xml:space="preserve">OSCILADOR</t>
  </si>
  <si>
    <t xml:space="preserve">ZJZD-III</t>
  </si>
  <si>
    <t xml:space="preserve">TENSIOMETRO PEDIATRICO</t>
  </si>
  <si>
    <t xml:space="preserve">SPHYGMOMANOMETER</t>
  </si>
  <si>
    <t xml:space="preserve">HS-20C</t>
  </si>
  <si>
    <t xml:space="preserve">Ambulancia ODU 086</t>
  </si>
  <si>
    <t xml:space="preserve">FT-805</t>
  </si>
  <si>
    <t xml:space="preserve">GLUCOMETRO</t>
  </si>
  <si>
    <t xml:space="preserve">ROCHE / ACCU-CHEK</t>
  </si>
  <si>
    <t xml:space="preserve">BRIGADA</t>
  </si>
  <si>
    <t xml:space="preserve">MD300C19</t>
  </si>
  <si>
    <t xml:space="preserve">BIOMEDICAL</t>
  </si>
  <si>
    <t xml:space="preserve">BE0697E1T0QEQCD0005</t>
  </si>
  <si>
    <t xml:space="preserve">LOCALIZADOR DE ÁPICES</t>
  </si>
  <si>
    <t xml:space="preserve">MINIPEX</t>
  </si>
  <si>
    <t xml:space="preserve">LÁMPARA DE PROCEDIMIENTOS LED</t>
  </si>
  <si>
    <t xml:space="preserve">4467X</t>
  </si>
  <si>
    <t xml:space="preserve">2023DM-0009826-R1</t>
  </si>
  <si>
    <t xml:space="preserve">TENSIÓMETRO PEDIÁTRICO</t>
  </si>
  <si>
    <t xml:space="preserve">HS.20C</t>
  </si>
  <si>
    <t xml:space="preserve">25010957</t>
  </si>
  <si>
    <t xml:space="preserve">LITTMANN</t>
  </si>
  <si>
    <t xml:space="preserve">2450 NEGRO</t>
  </si>
  <si>
    <t xml:space="preserve">EQUIPO DE RX PERIAPICAL </t>
  </si>
  <si>
    <t xml:space="preserve">Elity-70</t>
  </si>
  <si>
    <t xml:space="preserve">2019EBC-0003907-R1</t>
  </si>
  <si>
    <t xml:space="preserve">DESFRIBILADOR</t>
  </si>
  <si>
    <t xml:space="preserve">BENEHEART D30</t>
  </si>
  <si>
    <t xml:space="preserve">FP5-49011475</t>
  </si>
  <si>
    <t xml:space="preserve">URGENCIAS/CUARTO REANIMACIÓN</t>
  </si>
  <si>
    <t xml:space="preserve">KALLEY</t>
  </si>
  <si>
    <t xml:space="preserve">K-CH99L2</t>
  </si>
  <si>
    <t xml:space="preserve">K2486201</t>
  </si>
  <si>
    <t xml:space="preserve">CUARTO RESIDUOS</t>
  </si>
  <si>
    <t xml:space="preserve">BÁSCULA DIGITAL</t>
  </si>
  <si>
    <t xml:space="preserve">Dlab</t>
  </si>
  <si>
    <t xml:space="preserve">SK - 0180-S</t>
  </si>
  <si>
    <t xml:space="preserve">SN246BE0000445</t>
  </si>
  <si>
    <t xml:space="preserve">HORNO TERMOCULTIVO DIGITAL</t>
  </si>
  <si>
    <t xml:space="preserve">BRIGADAS</t>
  </si>
  <si>
    <t xml:space="preserve">AUTOCLAVE - HORIZONTAL</t>
  </si>
  <si>
    <t xml:space="preserve">EASTERN</t>
  </si>
  <si>
    <t xml:space="preserve">EA-620</t>
  </si>
  <si>
    <t xml:space="preserve">62OT8306-026</t>
  </si>
  <si>
    <t xml:space="preserve">ANALIZADOR DE TIRILLAS DE ORINA</t>
  </si>
  <si>
    <t xml:space="preserve">DIRUI</t>
  </si>
  <si>
    <t xml:space="preserve">H-500</t>
  </si>
  <si>
    <t xml:space="preserve">2400500H0660</t>
  </si>
  <si>
    <t xml:space="preserve">2022DM-0025774</t>
  </si>
  <si>
    <t xml:space="preserve">ANALIZADOR AUTOMÁTICO DE QUIMICA A -15 </t>
  </si>
  <si>
    <t xml:space="preserve">Biosystems</t>
  </si>
  <si>
    <t xml:space="preserve">A15</t>
  </si>
  <si>
    <t xml:space="preserve">2016DM-0014508</t>
  </si>
  <si>
    <t xml:space="preserve">AIRE ACONDICIONADO</t>
  </si>
  <si>
    <t xml:space="preserve">MMIRAGE</t>
  </si>
  <si>
    <t xml:space="preserve">EMF120E</t>
  </si>
  <si>
    <t xml:space="preserve">EMF12037062000278</t>
  </si>
  <si>
    <t xml:space="preserve">CENAGE SAS</t>
  </si>
  <si>
    <t xml:space="preserve">EMF091E</t>
  </si>
  <si>
    <t xml:space="preserve">EMF091E7072000293</t>
  </si>
  <si>
    <t xml:space="preserve">929090378 61313466</t>
  </si>
  <si>
    <t xml:space="preserve">PIPETA</t>
  </si>
  <si>
    <t xml:space="preserve">LK678444</t>
  </si>
  <si>
    <t xml:space="preserve">LK105547</t>
  </si>
  <si>
    <t xml:space="preserve">HUMAPETTE</t>
  </si>
  <si>
    <t xml:space="preserve">AR11445</t>
  </si>
  <si>
    <t xml:space="preserve">PIPETTE</t>
  </si>
  <si>
    <t xml:space="preserve">IOCARE</t>
  </si>
  <si>
    <t xml:space="preserve">C123060381</t>
  </si>
  <si>
    <t xml:space="preserve">HONSUN</t>
  </si>
  <si>
    <t xml:space="preserve">TOTAL COTIZACIÓN</t>
  </si>
  <si>
    <t xml:space="preserve">Celdas naranja: valor estimado por equipo similar (ver comentario). Celdas amarillas: equipo no encontrado en la base, falta ingresar el valor de MMT PREVENTIVO.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</si>
</sst>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* #,##0.00_);_(* \(#,##0.00\);_(* \-??_);_(@_)"/>
    <numFmt numFmtId="166" formatCode="\$#,##0"/>
    <numFmt numFmtId="167" formatCode="@"/>
    <numFmt numFmtId="168" formatCode="0"/>
    <numFmt numFmtId="169" formatCode="0.00"/>
  </numFmts>
  <fonts count="1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sz val="12"/>
      <color theme="1"/>
      <name val="Aptos Narrow"/>
      <family val="2"/>
      <charset val="1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CD5B4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2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26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2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2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26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1" xfId="26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26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1" xfId="2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26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0" borderId="1" xfId="26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2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 2" xfId="22"/>
    <cellStyle name="Normal 2 3 2" xfId="23"/>
    <cellStyle name="Normal 2 4" xfId="24"/>
    <cellStyle name="Normal 3 2 2" xfId="25"/>
    <cellStyle name="Normal 3 3" xfId="26"/>
    <cellStyle name="Normal 4" xfId="27"/>
    <cellStyle name="Normal 6 2" xfId="28"/>
    <cellStyle name="Normal 7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0.53125" defaultRowHeight="14.25" zeroHeight="false" outlineLevelRow="0" outlineLevelCol="0"/>
  <cols>
    <col collapsed="false" customWidth="true" hidden="false" outlineLevel="0" max="1" min="1" style="0" width="42.22"/>
    <col collapsed="false" customWidth="true" hidden="false" outlineLevel="0" max="2" min="2" style="0" width="22.56"/>
    <col collapsed="false" customWidth="true" hidden="false" outlineLevel="0" max="3" min="3" style="0" width="27.33"/>
    <col collapsed="false" customWidth="true" hidden="false" outlineLevel="0" max="4" min="4" style="0" width="26.33"/>
    <col collapsed="false" customWidth="true" hidden="false" outlineLevel="0" max="5" min="5" style="0" width="18.78"/>
    <col collapsed="false" customWidth="true" hidden="false" outlineLevel="0" max="6" min="6" style="0" width="24.33"/>
    <col collapsed="false" customWidth="true" hidden="false" outlineLevel="0" max="7" min="7" style="0" width="18.11"/>
    <col collapsed="false" customWidth="true" hidden="false" outlineLevel="0" max="9" min="8" style="0" width="16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4.25" hidden="false" customHeight="false" outlineLevel="0" collapsed="false">
      <c r="A2" s="3" t="s">
        <v>9</v>
      </c>
      <c r="B2" s="4" t="s">
        <v>10</v>
      </c>
      <c r="C2" s="5"/>
      <c r="D2" s="5"/>
      <c r="E2" s="6"/>
      <c r="F2" s="5" t="s">
        <v>11</v>
      </c>
      <c r="G2" s="7" t="n">
        <v>60000</v>
      </c>
      <c r="H2" s="7" t="n">
        <f aca="false">+G2*19%</f>
        <v>11400</v>
      </c>
      <c r="I2" s="7" t="n">
        <f aca="false">+G2+H2</f>
        <v>71400</v>
      </c>
    </row>
    <row r="3" customFormat="false" ht="15" hidden="false" customHeight="true" outlineLevel="0" collapsed="false">
      <c r="A3" s="8" t="s">
        <v>12</v>
      </c>
      <c r="B3" s="8" t="s">
        <v>13</v>
      </c>
      <c r="C3" s="8" t="s">
        <v>14</v>
      </c>
      <c r="D3" s="8" t="n">
        <v>920010047</v>
      </c>
      <c r="E3" s="8"/>
      <c r="F3" s="8" t="s">
        <v>15</v>
      </c>
      <c r="G3" s="9" t="n">
        <v>120000</v>
      </c>
      <c r="H3" s="10" t="n">
        <f aca="false">+G3*19%</f>
        <v>22800</v>
      </c>
      <c r="I3" s="10" t="n">
        <f aca="false">+G3+H3</f>
        <v>142800</v>
      </c>
    </row>
    <row r="4" customFormat="false" ht="15" hidden="false" customHeight="true" outlineLevel="0" collapsed="false">
      <c r="A4" s="8" t="s">
        <v>12</v>
      </c>
      <c r="B4" s="8" t="s">
        <v>16</v>
      </c>
      <c r="C4" s="8" t="s">
        <v>17</v>
      </c>
      <c r="D4" s="8" t="s">
        <v>18</v>
      </c>
      <c r="E4" s="8"/>
      <c r="F4" s="8" t="s">
        <v>19</v>
      </c>
      <c r="G4" s="10" t="n">
        <v>130000</v>
      </c>
      <c r="H4" s="10" t="n">
        <f aca="false">+G4*19%</f>
        <v>24700</v>
      </c>
      <c r="I4" s="10" t="n">
        <f aca="false">+G4+H4</f>
        <v>154700</v>
      </c>
    </row>
    <row r="5" customFormat="false" ht="15" hidden="false" customHeight="true" outlineLevel="0" collapsed="false">
      <c r="A5" s="3" t="s">
        <v>20</v>
      </c>
      <c r="B5" s="8" t="s">
        <v>21</v>
      </c>
      <c r="C5" s="8" t="s">
        <v>22</v>
      </c>
      <c r="D5" s="8" t="s">
        <v>23</v>
      </c>
      <c r="E5" s="6"/>
      <c r="F5" s="8" t="s">
        <v>24</v>
      </c>
      <c r="G5" s="10" t="n">
        <v>60000</v>
      </c>
      <c r="H5" s="10" t="n">
        <f aca="false">+G5*19%</f>
        <v>11400</v>
      </c>
      <c r="I5" s="10" t="n">
        <f aca="false">+G5+H5</f>
        <v>71400</v>
      </c>
    </row>
    <row r="6" customFormat="false" ht="15" hidden="false" customHeight="true" outlineLevel="0" collapsed="false">
      <c r="A6" s="3" t="s">
        <v>25</v>
      </c>
      <c r="B6" s="8" t="s">
        <v>26</v>
      </c>
      <c r="C6" s="8" t="s">
        <v>27</v>
      </c>
      <c r="D6" s="8" t="s">
        <v>28</v>
      </c>
      <c r="E6" s="6"/>
      <c r="F6" s="8" t="s">
        <v>24</v>
      </c>
      <c r="G6" s="10" t="n">
        <v>75000</v>
      </c>
      <c r="H6" s="10" t="n">
        <f aca="false">+G6*19%</f>
        <v>14250</v>
      </c>
      <c r="I6" s="10" t="n">
        <f aca="false">+G6+H6</f>
        <v>89250</v>
      </c>
    </row>
    <row r="7" customFormat="false" ht="15" hidden="false" customHeight="true" outlineLevel="0" collapsed="false">
      <c r="A7" s="3" t="s">
        <v>25</v>
      </c>
      <c r="B7" s="8" t="s">
        <v>26</v>
      </c>
      <c r="C7" s="8" t="s">
        <v>29</v>
      </c>
      <c r="D7" s="8" t="s">
        <v>30</v>
      </c>
      <c r="E7" s="6"/>
      <c r="F7" s="8" t="s">
        <v>24</v>
      </c>
      <c r="G7" s="10" t="n">
        <v>75000</v>
      </c>
      <c r="H7" s="10" t="n">
        <f aca="false">+G7*19%</f>
        <v>14250</v>
      </c>
      <c r="I7" s="10" t="n">
        <f aca="false">+G7+H7</f>
        <v>89250</v>
      </c>
    </row>
    <row r="8" customFormat="false" ht="14.25" hidden="false" customHeight="false" outlineLevel="0" collapsed="false">
      <c r="A8" s="3" t="s">
        <v>31</v>
      </c>
      <c r="B8" s="11" t="s">
        <v>32</v>
      </c>
      <c r="C8" s="11"/>
      <c r="D8" s="11" t="n">
        <v>16569</v>
      </c>
      <c r="E8" s="11" t="s">
        <v>33</v>
      </c>
      <c r="F8" s="11" t="s">
        <v>34</v>
      </c>
      <c r="G8" s="12" t="n">
        <v>80000</v>
      </c>
      <c r="H8" s="12" t="n">
        <f aca="false">+G8*19%</f>
        <v>15200</v>
      </c>
      <c r="I8" s="12" t="n">
        <f aca="false">+G8+H8</f>
        <v>95200</v>
      </c>
    </row>
    <row r="9" customFormat="false" ht="15" hidden="false" customHeight="true" outlineLevel="0" collapsed="false">
      <c r="A9" s="3" t="s">
        <v>35</v>
      </c>
      <c r="B9" s="8" t="s">
        <v>36</v>
      </c>
      <c r="C9" s="8" t="s">
        <v>37</v>
      </c>
      <c r="D9" s="8" t="s">
        <v>38</v>
      </c>
      <c r="E9" s="6"/>
      <c r="F9" s="8" t="s">
        <v>39</v>
      </c>
      <c r="G9" s="10" t="n">
        <v>70000</v>
      </c>
      <c r="H9" s="10" t="n">
        <f aca="false">+G9*19%</f>
        <v>13300</v>
      </c>
      <c r="I9" s="10" t="n">
        <f aca="false">+G9+H9</f>
        <v>83300</v>
      </c>
    </row>
    <row r="10" customFormat="false" ht="15" hidden="false" customHeight="true" outlineLevel="0" collapsed="false">
      <c r="A10" s="3" t="s">
        <v>35</v>
      </c>
      <c r="B10" s="8" t="s">
        <v>40</v>
      </c>
      <c r="C10" s="8" t="s">
        <v>41</v>
      </c>
      <c r="D10" s="8" t="n">
        <v>2981</v>
      </c>
      <c r="E10" s="6"/>
      <c r="F10" s="8" t="s">
        <v>42</v>
      </c>
      <c r="G10" s="10" t="n">
        <v>65000</v>
      </c>
      <c r="H10" s="10" t="n">
        <f aca="false">+G10*19%</f>
        <v>12350</v>
      </c>
      <c r="I10" s="10" t="n">
        <f aca="false">+G10+H10</f>
        <v>77350</v>
      </c>
    </row>
    <row r="11" customFormat="false" ht="15" hidden="false" customHeight="true" outlineLevel="0" collapsed="false">
      <c r="A11" s="3" t="s">
        <v>43</v>
      </c>
      <c r="B11" s="8" t="s">
        <v>44</v>
      </c>
      <c r="C11" s="8" t="s">
        <v>45</v>
      </c>
      <c r="D11" s="8" t="n">
        <v>241140644</v>
      </c>
      <c r="E11" s="6"/>
      <c r="F11" s="8" t="s">
        <v>46</v>
      </c>
      <c r="G11" s="10" t="n">
        <v>65000</v>
      </c>
      <c r="H11" s="10" t="n">
        <f aca="false">+G11*19%</f>
        <v>12350</v>
      </c>
      <c r="I11" s="10" t="n">
        <f aca="false">+G11+H11</f>
        <v>77350</v>
      </c>
    </row>
    <row r="12" customFormat="false" ht="14.25" hidden="false" customHeight="false" outlineLevel="0" collapsed="false">
      <c r="A12" s="3" t="s">
        <v>9</v>
      </c>
      <c r="B12" s="4" t="s">
        <v>47</v>
      </c>
      <c r="C12" s="4" t="s">
        <v>48</v>
      </c>
      <c r="D12" s="13" t="s">
        <v>49</v>
      </c>
      <c r="E12" s="6"/>
      <c r="F12" s="14"/>
      <c r="G12" s="15" t="n">
        <v>60000</v>
      </c>
      <c r="H12" s="15" t="n">
        <f aca="false">+G12*19%</f>
        <v>11400</v>
      </c>
      <c r="I12" s="15" t="n">
        <f aca="false">+G12+H12</f>
        <v>71400</v>
      </c>
    </row>
    <row r="13" customFormat="false" ht="14.25" hidden="false" customHeight="false" outlineLevel="0" collapsed="false">
      <c r="A13" s="3" t="s">
        <v>9</v>
      </c>
      <c r="B13" s="4" t="s">
        <v>50</v>
      </c>
      <c r="C13" s="4" t="s">
        <v>51</v>
      </c>
      <c r="D13" s="13"/>
      <c r="E13" s="6"/>
      <c r="F13" s="14"/>
      <c r="G13" s="15" t="n">
        <v>60000</v>
      </c>
      <c r="H13" s="15" t="n">
        <f aca="false">+G13*19%</f>
        <v>11400</v>
      </c>
      <c r="I13" s="15" t="n">
        <f aca="false">+G13+H13</f>
        <v>71400</v>
      </c>
    </row>
    <row r="14" customFormat="false" ht="14.25" hidden="false" customHeight="false" outlineLevel="0" collapsed="false">
      <c r="A14" s="3" t="s">
        <v>52</v>
      </c>
      <c r="B14" s="11" t="s">
        <v>53</v>
      </c>
      <c r="C14" s="11" t="s">
        <v>54</v>
      </c>
      <c r="D14" s="11"/>
      <c r="E14" s="11" t="s">
        <v>55</v>
      </c>
      <c r="F14" s="11" t="s">
        <v>56</v>
      </c>
      <c r="G14" s="12" t="n">
        <v>85000</v>
      </c>
      <c r="H14" s="12" t="n">
        <f aca="false">+G14*19%</f>
        <v>16150</v>
      </c>
      <c r="I14" s="12" t="n">
        <f aca="false">+G14+H14</f>
        <v>101150</v>
      </c>
    </row>
    <row r="15" customFormat="false" ht="14.25" hidden="false" customHeight="false" outlineLevel="0" collapsed="false">
      <c r="A15" s="3" t="s">
        <v>57</v>
      </c>
      <c r="B15" s="11" t="s">
        <v>58</v>
      </c>
      <c r="C15" s="11" t="s">
        <v>54</v>
      </c>
      <c r="D15" s="11" t="s">
        <v>59</v>
      </c>
      <c r="E15" s="11" t="s">
        <v>55</v>
      </c>
      <c r="F15" s="11" t="s">
        <v>60</v>
      </c>
      <c r="G15" s="12" t="n">
        <v>65000</v>
      </c>
      <c r="H15" s="12" t="n">
        <f aca="false">+G15*19%</f>
        <v>12350</v>
      </c>
      <c r="I15" s="12" t="n">
        <f aca="false">+G15+H15</f>
        <v>77350</v>
      </c>
    </row>
    <row r="16" customFormat="false" ht="15" hidden="false" customHeight="true" outlineLevel="0" collapsed="false">
      <c r="A16" s="3" t="s">
        <v>61</v>
      </c>
      <c r="B16" s="11" t="s">
        <v>62</v>
      </c>
      <c r="C16" s="11" t="s">
        <v>63</v>
      </c>
      <c r="D16" s="16" t="s">
        <v>64</v>
      </c>
      <c r="E16" s="17" t="s">
        <v>55</v>
      </c>
      <c r="F16" s="11" t="s">
        <v>60</v>
      </c>
      <c r="G16" s="12" t="n">
        <v>85000</v>
      </c>
      <c r="H16" s="12" t="n">
        <f aca="false">+G16*19%</f>
        <v>16150</v>
      </c>
      <c r="I16" s="12" t="n">
        <f aca="false">+G16+H16</f>
        <v>101150</v>
      </c>
    </row>
    <row r="17" customFormat="false" ht="14.25" hidden="false" customHeight="false" outlineLevel="0" collapsed="false">
      <c r="A17" s="3" t="s">
        <v>65</v>
      </c>
      <c r="B17" s="11" t="s">
        <v>66</v>
      </c>
      <c r="C17" s="11"/>
      <c r="D17" s="11"/>
      <c r="E17" s="6"/>
      <c r="F17" s="11" t="s">
        <v>34</v>
      </c>
      <c r="G17" s="12" t="n">
        <v>95000</v>
      </c>
      <c r="H17" s="12" t="n">
        <f aca="false">+G17*19%</f>
        <v>18050</v>
      </c>
      <c r="I17" s="12" t="n">
        <f aca="false">+G17+H17</f>
        <v>113050</v>
      </c>
    </row>
    <row r="18" customFormat="false" ht="14.25" hidden="false" customHeight="false" outlineLevel="0" collapsed="false">
      <c r="A18" s="3" t="s">
        <v>67</v>
      </c>
      <c r="B18" s="18" t="s">
        <v>68</v>
      </c>
      <c r="C18" s="18" t="s">
        <v>69</v>
      </c>
      <c r="D18" s="19"/>
      <c r="E18" s="6"/>
      <c r="F18" s="18" t="s">
        <v>70</v>
      </c>
      <c r="G18" s="7" t="n">
        <v>60000</v>
      </c>
      <c r="H18" s="7" t="n">
        <f aca="false">+G18*19%</f>
        <v>11400</v>
      </c>
      <c r="I18" s="7" t="n">
        <f aca="false">+G18+H18</f>
        <v>71400</v>
      </c>
    </row>
    <row r="19" customFormat="false" ht="14.25" hidden="false" customHeight="false" outlineLevel="0" collapsed="false">
      <c r="A19" s="3" t="s">
        <v>71</v>
      </c>
      <c r="B19" s="11" t="s">
        <v>72</v>
      </c>
      <c r="C19" s="11" t="s">
        <v>73</v>
      </c>
      <c r="D19" s="17" t="s">
        <v>74</v>
      </c>
      <c r="E19" s="17" t="s">
        <v>75</v>
      </c>
      <c r="F19" s="11" t="s">
        <v>56</v>
      </c>
      <c r="G19" s="12" t="n">
        <v>65000</v>
      </c>
      <c r="H19" s="12" t="n">
        <f aca="false">+G19*19%</f>
        <v>12350</v>
      </c>
      <c r="I19" s="12" t="n">
        <f aca="false">+G19+H19</f>
        <v>77350</v>
      </c>
    </row>
    <row r="20" customFormat="false" ht="15" hidden="false" customHeight="true" outlineLevel="0" collapsed="false">
      <c r="A20" s="3" t="s">
        <v>76</v>
      </c>
      <c r="B20" s="8" t="s">
        <v>77</v>
      </c>
      <c r="C20" s="8" t="s">
        <v>78</v>
      </c>
      <c r="D20" s="8" t="n">
        <v>8639401</v>
      </c>
      <c r="E20" s="6"/>
      <c r="F20" s="8" t="s">
        <v>79</v>
      </c>
      <c r="G20" s="10" t="n">
        <v>65000</v>
      </c>
      <c r="H20" s="10" t="n">
        <f aca="false">+G20*19%</f>
        <v>12350</v>
      </c>
      <c r="I20" s="10" t="n">
        <f aca="false">+G20+H20</f>
        <v>77350</v>
      </c>
    </row>
    <row r="21" customFormat="false" ht="14.25" hidden="false" customHeight="false" outlineLevel="0" collapsed="false">
      <c r="A21" s="3" t="s">
        <v>80</v>
      </c>
      <c r="B21" s="11" t="s">
        <v>81</v>
      </c>
      <c r="C21" s="11"/>
      <c r="D21" s="11" t="s">
        <v>82</v>
      </c>
      <c r="E21" s="11" t="s">
        <v>75</v>
      </c>
      <c r="F21" s="11" t="s">
        <v>60</v>
      </c>
      <c r="G21" s="12" t="n">
        <v>65000</v>
      </c>
      <c r="H21" s="12" t="n">
        <f aca="false">+G21*19%</f>
        <v>12350</v>
      </c>
      <c r="I21" s="12" t="n">
        <f aca="false">+G21+H21</f>
        <v>77350</v>
      </c>
    </row>
    <row r="22" customFormat="false" ht="14.25" hidden="false" customHeight="false" outlineLevel="0" collapsed="false">
      <c r="A22" s="3" t="s">
        <v>83</v>
      </c>
      <c r="B22" s="20" t="s">
        <v>84</v>
      </c>
      <c r="C22" s="21" t="n">
        <v>2119</v>
      </c>
      <c r="D22" s="20" t="s">
        <v>84</v>
      </c>
      <c r="E22" s="6"/>
      <c r="F22" s="21" t="s">
        <v>34</v>
      </c>
      <c r="G22" s="22" t="n">
        <v>65000</v>
      </c>
      <c r="H22" s="22" t="n">
        <f aca="false">+G22*19%</f>
        <v>12350</v>
      </c>
      <c r="I22" s="22" t="n">
        <f aca="false">+G22+H22</f>
        <v>77350</v>
      </c>
    </row>
    <row r="23" customFormat="false" ht="15" hidden="false" customHeight="true" outlineLevel="0" collapsed="false">
      <c r="A23" s="3" t="s">
        <v>71</v>
      </c>
      <c r="B23" s="11" t="s">
        <v>81</v>
      </c>
      <c r="C23" s="11" t="s">
        <v>85</v>
      </c>
      <c r="D23" s="16" t="s">
        <v>86</v>
      </c>
      <c r="E23" s="11"/>
      <c r="F23" s="11" t="s">
        <v>60</v>
      </c>
      <c r="G23" s="12" t="n">
        <v>65000</v>
      </c>
      <c r="H23" s="12" t="n">
        <f aca="false">+G23*19%</f>
        <v>12350</v>
      </c>
      <c r="I23" s="12" t="n">
        <f aca="false">+G23+H23</f>
        <v>77350</v>
      </c>
    </row>
    <row r="24" customFormat="false" ht="15" hidden="false" customHeight="true" outlineLevel="0" collapsed="false">
      <c r="A24" s="3" t="s">
        <v>87</v>
      </c>
      <c r="B24" s="8" t="s">
        <v>88</v>
      </c>
      <c r="C24" s="8"/>
      <c r="D24" s="8"/>
      <c r="E24" s="6"/>
      <c r="F24" s="8" t="s">
        <v>89</v>
      </c>
      <c r="G24" s="10" t="n">
        <v>320000</v>
      </c>
      <c r="H24" s="10" t="n">
        <f aca="false">+G24*19%</f>
        <v>60800</v>
      </c>
      <c r="I24" s="10" t="n">
        <f aca="false">+G24+H24</f>
        <v>380800</v>
      </c>
    </row>
    <row r="25" customFormat="false" ht="15" hidden="false" customHeight="true" outlineLevel="0" collapsed="false">
      <c r="A25" s="3" t="s">
        <v>90</v>
      </c>
      <c r="B25" s="8" t="s">
        <v>91</v>
      </c>
      <c r="C25" s="8" t="n">
        <v>3341321619</v>
      </c>
      <c r="D25" s="23" t="n">
        <v>10000001438631</v>
      </c>
      <c r="E25" s="6"/>
      <c r="F25" s="8" t="s">
        <v>46</v>
      </c>
      <c r="G25" s="10" t="n">
        <v>60000</v>
      </c>
      <c r="H25" s="10" t="n">
        <f aca="false">+G25*19%</f>
        <v>11400</v>
      </c>
      <c r="I25" s="10" t="n">
        <f aca="false">+G25+H25</f>
        <v>71400</v>
      </c>
    </row>
    <row r="26" customFormat="false" ht="14.25" hidden="false" customHeight="false" outlineLevel="0" collapsed="false">
      <c r="A26" s="3" t="s">
        <v>92</v>
      </c>
      <c r="B26" s="11" t="s">
        <v>93</v>
      </c>
      <c r="C26" s="11" t="s">
        <v>94</v>
      </c>
      <c r="D26" s="11"/>
      <c r="E26" s="11"/>
      <c r="F26" s="11" t="s">
        <v>60</v>
      </c>
      <c r="G26" s="12" t="n">
        <v>350000</v>
      </c>
      <c r="H26" s="12" t="n">
        <f aca="false">+G26*19%</f>
        <v>66500</v>
      </c>
      <c r="I26" s="12" t="n">
        <f aca="false">+G26+H26</f>
        <v>416500</v>
      </c>
    </row>
    <row r="27" customFormat="false" ht="14.25" hidden="false" customHeight="false" outlineLevel="0" collapsed="false">
      <c r="A27" s="3" t="s">
        <v>92</v>
      </c>
      <c r="B27" s="11" t="s">
        <v>93</v>
      </c>
      <c r="C27" s="11" t="s">
        <v>94</v>
      </c>
      <c r="D27" s="11"/>
      <c r="E27" s="11"/>
      <c r="F27" s="11" t="s">
        <v>60</v>
      </c>
      <c r="G27" s="12" t="n">
        <v>350000</v>
      </c>
      <c r="H27" s="12" t="n">
        <f aca="false">+G27*19%</f>
        <v>66500</v>
      </c>
      <c r="I27" s="12" t="n">
        <f aca="false">+G27+H27</f>
        <v>416500</v>
      </c>
    </row>
    <row r="28" customFormat="false" ht="14.25" hidden="false" customHeight="false" outlineLevel="0" collapsed="false">
      <c r="A28" s="24" t="s">
        <v>95</v>
      </c>
      <c r="B28" s="11" t="s">
        <v>93</v>
      </c>
      <c r="C28" s="11" t="s">
        <v>94</v>
      </c>
      <c r="D28" s="11"/>
      <c r="E28" s="11"/>
      <c r="F28" s="11" t="s">
        <v>56</v>
      </c>
      <c r="G28" s="12" t="n">
        <v>350000</v>
      </c>
      <c r="H28" s="12" t="n">
        <f aca="false">+G28*19%</f>
        <v>66500</v>
      </c>
      <c r="I28" s="12" t="n">
        <f aca="false">+G28+H28</f>
        <v>416500</v>
      </c>
    </row>
    <row r="29" customFormat="false" ht="14.25" hidden="false" customHeight="false" outlineLevel="0" collapsed="false">
      <c r="A29" s="3" t="s">
        <v>95</v>
      </c>
      <c r="B29" s="11" t="s">
        <v>93</v>
      </c>
      <c r="C29" s="11" t="s">
        <v>94</v>
      </c>
      <c r="D29" s="11"/>
      <c r="E29" s="11"/>
      <c r="F29" s="11" t="s">
        <v>60</v>
      </c>
      <c r="G29" s="12" t="n">
        <v>350000</v>
      </c>
      <c r="H29" s="12" t="n">
        <f aca="false">+G29*19%</f>
        <v>66500</v>
      </c>
      <c r="I29" s="12" t="n">
        <f aca="false">+G29+H29</f>
        <v>416500</v>
      </c>
    </row>
    <row r="30" customFormat="false" ht="14.25" hidden="false" customHeight="false" outlineLevel="0" collapsed="false">
      <c r="A30" s="3" t="s">
        <v>95</v>
      </c>
      <c r="B30" s="11" t="s">
        <v>93</v>
      </c>
      <c r="C30" s="11" t="s">
        <v>94</v>
      </c>
      <c r="D30" s="11"/>
      <c r="E30" s="11"/>
      <c r="F30" s="11" t="s">
        <v>60</v>
      </c>
      <c r="G30" s="12" t="n">
        <v>350000</v>
      </c>
      <c r="H30" s="12" t="n">
        <f aca="false">+G30*19%</f>
        <v>66500</v>
      </c>
      <c r="I30" s="12" t="n">
        <f aca="false">+G30+H30</f>
        <v>416500</v>
      </c>
    </row>
    <row r="31" customFormat="false" ht="15" hidden="false" customHeight="true" outlineLevel="0" collapsed="false">
      <c r="A31" s="3" t="s">
        <v>96</v>
      </c>
      <c r="B31" s="8" t="s">
        <v>97</v>
      </c>
      <c r="C31" s="8" t="s">
        <v>98</v>
      </c>
      <c r="D31" s="8" t="s">
        <v>99</v>
      </c>
      <c r="E31" s="6"/>
      <c r="F31" s="8" t="s">
        <v>100</v>
      </c>
      <c r="G31" s="10" t="n">
        <v>65000</v>
      </c>
      <c r="H31" s="10" t="n">
        <f aca="false">+G31*19%</f>
        <v>12350</v>
      </c>
      <c r="I31" s="10" t="n">
        <f aca="false">+G31+H31</f>
        <v>77350</v>
      </c>
    </row>
    <row r="32" customFormat="false" ht="15" hidden="false" customHeight="true" outlineLevel="0" collapsed="false">
      <c r="A32" s="3" t="s">
        <v>96</v>
      </c>
      <c r="B32" s="8" t="s">
        <v>97</v>
      </c>
      <c r="C32" s="8" t="s">
        <v>98</v>
      </c>
      <c r="D32" s="8" t="s">
        <v>101</v>
      </c>
      <c r="E32" s="6"/>
      <c r="F32" s="8" t="s">
        <v>100</v>
      </c>
      <c r="G32" s="10" t="n">
        <v>65000</v>
      </c>
      <c r="H32" s="10" t="n">
        <f aca="false">+G32*19%</f>
        <v>12350</v>
      </c>
      <c r="I32" s="10" t="n">
        <f aca="false">+G32+H32</f>
        <v>77350</v>
      </c>
    </row>
    <row r="33" customFormat="false" ht="15" hidden="false" customHeight="true" outlineLevel="0" collapsed="false">
      <c r="A33" s="3" t="s">
        <v>96</v>
      </c>
      <c r="B33" s="8" t="s">
        <v>97</v>
      </c>
      <c r="C33" s="8" t="s">
        <v>98</v>
      </c>
      <c r="D33" s="8" t="s">
        <v>102</v>
      </c>
      <c r="E33" s="6"/>
      <c r="F33" s="8" t="s">
        <v>100</v>
      </c>
      <c r="G33" s="10" t="n">
        <v>65000</v>
      </c>
      <c r="H33" s="10" t="n">
        <f aca="false">+G33*19%</f>
        <v>12350</v>
      </c>
      <c r="I33" s="10" t="n">
        <f aca="false">+G33+H33</f>
        <v>77350</v>
      </c>
    </row>
    <row r="34" customFormat="false" ht="15" hidden="false" customHeight="true" outlineLevel="0" collapsed="false">
      <c r="A34" s="3" t="s">
        <v>96</v>
      </c>
      <c r="B34" s="8" t="s">
        <v>97</v>
      </c>
      <c r="C34" s="8" t="s">
        <v>98</v>
      </c>
      <c r="D34" s="8" t="s">
        <v>103</v>
      </c>
      <c r="E34" s="6"/>
      <c r="F34" s="8" t="s">
        <v>100</v>
      </c>
      <c r="G34" s="10" t="n">
        <v>65000</v>
      </c>
      <c r="H34" s="10" t="n">
        <f aca="false">+G34*19%</f>
        <v>12350</v>
      </c>
      <c r="I34" s="10" t="n">
        <f aca="false">+G34+H34</f>
        <v>77350</v>
      </c>
    </row>
    <row r="35" customFormat="false" ht="15" hidden="false" customHeight="true" outlineLevel="0" collapsed="false">
      <c r="A35" s="3" t="s">
        <v>35</v>
      </c>
      <c r="B35" s="8" t="s">
        <v>36</v>
      </c>
      <c r="C35" s="8" t="s">
        <v>37</v>
      </c>
      <c r="D35" s="8" t="s">
        <v>38</v>
      </c>
      <c r="E35" s="6"/>
      <c r="F35" s="8" t="s">
        <v>24</v>
      </c>
      <c r="G35" s="10" t="n">
        <v>70000</v>
      </c>
      <c r="H35" s="10" t="n">
        <f aca="false">+G35*19%</f>
        <v>13300</v>
      </c>
      <c r="I35" s="10" t="n">
        <f aca="false">+G35+H35</f>
        <v>83300</v>
      </c>
    </row>
    <row r="36" customFormat="false" ht="15" hidden="false" customHeight="true" outlineLevel="0" collapsed="false">
      <c r="A36" s="3" t="s">
        <v>35</v>
      </c>
      <c r="B36" s="8" t="s">
        <v>104</v>
      </c>
      <c r="C36" s="8" t="s">
        <v>105</v>
      </c>
      <c r="D36" s="8" t="s">
        <v>38</v>
      </c>
      <c r="E36" s="6"/>
      <c r="F36" s="8" t="s">
        <v>106</v>
      </c>
      <c r="G36" s="10" t="n">
        <v>70000</v>
      </c>
      <c r="H36" s="10" t="n">
        <f aca="false">+G36*19%</f>
        <v>13300</v>
      </c>
      <c r="I36" s="10" t="n">
        <f aca="false">+G36+H36</f>
        <v>83300</v>
      </c>
    </row>
    <row r="37" customFormat="false" ht="15" hidden="false" customHeight="true" outlineLevel="0" collapsed="false">
      <c r="A37" s="3" t="s">
        <v>35</v>
      </c>
      <c r="B37" s="8" t="s">
        <v>40</v>
      </c>
      <c r="C37" s="8" t="s">
        <v>41</v>
      </c>
      <c r="D37" s="8" t="s">
        <v>38</v>
      </c>
      <c r="E37" s="6"/>
      <c r="F37" s="8" t="s">
        <v>24</v>
      </c>
      <c r="G37" s="10" t="n">
        <v>65000</v>
      </c>
      <c r="H37" s="10" t="n">
        <f aca="false">+G37*19%</f>
        <v>12350</v>
      </c>
      <c r="I37" s="10" t="n">
        <f aca="false">+G37+H37</f>
        <v>77350</v>
      </c>
    </row>
    <row r="38" customFormat="false" ht="15" hidden="false" customHeight="true" outlineLevel="0" collapsed="false">
      <c r="A38" s="3" t="s">
        <v>35</v>
      </c>
      <c r="B38" s="8" t="s">
        <v>40</v>
      </c>
      <c r="C38" s="8" t="s">
        <v>41</v>
      </c>
      <c r="D38" s="8" t="s">
        <v>107</v>
      </c>
      <c r="E38" s="6"/>
      <c r="F38" s="8" t="s">
        <v>34</v>
      </c>
      <c r="G38" s="10" t="n">
        <v>65000</v>
      </c>
      <c r="H38" s="10" t="n">
        <f aca="false">+G38*19%</f>
        <v>12350</v>
      </c>
      <c r="I38" s="10" t="n">
        <f aca="false">+G38+H38</f>
        <v>77350</v>
      </c>
    </row>
    <row r="39" customFormat="false" ht="15" hidden="false" customHeight="true" outlineLevel="0" collapsed="false">
      <c r="A39" s="3" t="s">
        <v>35</v>
      </c>
      <c r="B39" s="8" t="s">
        <v>108</v>
      </c>
      <c r="C39" s="8" t="s">
        <v>105</v>
      </c>
      <c r="D39" s="8" t="s">
        <v>109</v>
      </c>
      <c r="E39" s="6"/>
      <c r="F39" s="8" t="s">
        <v>110</v>
      </c>
      <c r="G39" s="10" t="n">
        <v>65000</v>
      </c>
      <c r="H39" s="10" t="n">
        <f aca="false">+G39*19%</f>
        <v>12350</v>
      </c>
      <c r="I39" s="10" t="n">
        <f aca="false">+G39+H39</f>
        <v>77350</v>
      </c>
    </row>
    <row r="40" customFormat="false" ht="15" hidden="false" customHeight="true" outlineLevel="0" collapsed="false">
      <c r="A40" s="3" t="s">
        <v>35</v>
      </c>
      <c r="B40" s="8" t="s">
        <v>40</v>
      </c>
      <c r="C40" s="8" t="s">
        <v>41</v>
      </c>
      <c r="D40" s="8" t="s">
        <v>38</v>
      </c>
      <c r="E40" s="6"/>
      <c r="F40" s="8" t="s">
        <v>111</v>
      </c>
      <c r="G40" s="10" t="n">
        <v>65000</v>
      </c>
      <c r="H40" s="10" t="n">
        <f aca="false">+G40*19%</f>
        <v>12350</v>
      </c>
      <c r="I40" s="10" t="n">
        <f aca="false">+G40+H40</f>
        <v>77350</v>
      </c>
    </row>
    <row r="41" customFormat="false" ht="15" hidden="false" customHeight="true" outlineLevel="0" collapsed="false">
      <c r="A41" s="3" t="s">
        <v>112</v>
      </c>
      <c r="B41" s="8" t="s">
        <v>68</v>
      </c>
      <c r="C41" s="8" t="s">
        <v>38</v>
      </c>
      <c r="D41" s="8" t="s">
        <v>113</v>
      </c>
      <c r="E41" s="6"/>
      <c r="F41" s="8" t="s">
        <v>39</v>
      </c>
      <c r="G41" s="10" t="n">
        <v>65000</v>
      </c>
      <c r="H41" s="10" t="n">
        <f aca="false">+G41*19%</f>
        <v>12350</v>
      </c>
      <c r="I41" s="10" t="n">
        <f aca="false">+G41+H41</f>
        <v>77350</v>
      </c>
    </row>
    <row r="42" customFormat="false" ht="15" hidden="false" customHeight="true" outlineLevel="0" collapsed="false">
      <c r="A42" s="3" t="s">
        <v>112</v>
      </c>
      <c r="B42" s="8" t="s">
        <v>114</v>
      </c>
      <c r="C42" s="8" t="s">
        <v>115</v>
      </c>
      <c r="D42" s="8" t="s">
        <v>116</v>
      </c>
      <c r="E42" s="6"/>
      <c r="F42" s="8" t="s">
        <v>117</v>
      </c>
      <c r="G42" s="10" t="n">
        <v>65000</v>
      </c>
      <c r="H42" s="10" t="n">
        <f aca="false">+G42*19%</f>
        <v>12350</v>
      </c>
      <c r="I42" s="10" t="n">
        <f aca="false">+G42+H42</f>
        <v>77350</v>
      </c>
    </row>
    <row r="43" customFormat="false" ht="15" hidden="false" customHeight="true" outlineLevel="0" collapsed="false">
      <c r="A43" s="3" t="s">
        <v>112</v>
      </c>
      <c r="B43" s="8" t="s">
        <v>68</v>
      </c>
      <c r="C43" s="8" t="s">
        <v>38</v>
      </c>
      <c r="D43" s="8" t="n">
        <v>484683</v>
      </c>
      <c r="E43" s="6"/>
      <c r="F43" s="8" t="s">
        <v>117</v>
      </c>
      <c r="G43" s="10" t="n">
        <v>65000</v>
      </c>
      <c r="H43" s="10" t="n">
        <f aca="false">+G43*19%</f>
        <v>12350</v>
      </c>
      <c r="I43" s="10" t="n">
        <f aca="false">+G43+H43</f>
        <v>77350</v>
      </c>
    </row>
    <row r="44" customFormat="false" ht="15" hidden="false" customHeight="true" outlineLevel="0" collapsed="false">
      <c r="A44" s="8" t="s">
        <v>112</v>
      </c>
      <c r="B44" s="8" t="s">
        <v>68</v>
      </c>
      <c r="C44" s="8"/>
      <c r="D44" s="8" t="s">
        <v>118</v>
      </c>
      <c r="E44" s="6"/>
      <c r="F44" s="8" t="s">
        <v>119</v>
      </c>
      <c r="G44" s="10" t="n">
        <v>65000</v>
      </c>
      <c r="H44" s="10" t="n">
        <f aca="false">+G44*19%</f>
        <v>12350</v>
      </c>
      <c r="I44" s="10" t="n">
        <f aca="false">+G44+H44</f>
        <v>77350</v>
      </c>
    </row>
    <row r="45" customFormat="false" ht="15" hidden="false" customHeight="true" outlineLevel="0" collapsed="false">
      <c r="A45" s="3" t="s">
        <v>120</v>
      </c>
      <c r="B45" s="8" t="s">
        <v>121</v>
      </c>
      <c r="C45" s="8" t="s">
        <v>122</v>
      </c>
      <c r="D45" s="8" t="n">
        <v>2024031677</v>
      </c>
      <c r="E45" s="6"/>
      <c r="F45" s="8" t="s">
        <v>100</v>
      </c>
      <c r="G45" s="10" t="n">
        <v>65000</v>
      </c>
      <c r="H45" s="10" t="n">
        <f aca="false">+G45*19%</f>
        <v>12350</v>
      </c>
      <c r="I45" s="10" t="n">
        <f aca="false">+G45+H45</f>
        <v>77350</v>
      </c>
    </row>
    <row r="46" customFormat="false" ht="15" hidden="false" customHeight="true" outlineLevel="0" collapsed="false">
      <c r="A46" s="3" t="s">
        <v>120</v>
      </c>
      <c r="B46" s="8" t="s">
        <v>121</v>
      </c>
      <c r="C46" s="8" t="s">
        <v>122</v>
      </c>
      <c r="D46" s="8" t="n">
        <v>2024060487</v>
      </c>
      <c r="E46" s="6"/>
      <c r="F46" s="8" t="s">
        <v>100</v>
      </c>
      <c r="G46" s="10" t="n">
        <v>65000</v>
      </c>
      <c r="H46" s="10" t="n">
        <f aca="false">+G46*19%</f>
        <v>12350</v>
      </c>
      <c r="I46" s="10" t="n">
        <f aca="false">+G46+H46</f>
        <v>77350</v>
      </c>
    </row>
    <row r="47" customFormat="false" ht="15" hidden="false" customHeight="true" outlineLevel="0" collapsed="false">
      <c r="A47" s="3" t="s">
        <v>120</v>
      </c>
      <c r="B47" s="8" t="s">
        <v>121</v>
      </c>
      <c r="C47" s="8" t="s">
        <v>122</v>
      </c>
      <c r="D47" s="8" t="n">
        <v>2024032673</v>
      </c>
      <c r="E47" s="6"/>
      <c r="F47" s="8" t="s">
        <v>100</v>
      </c>
      <c r="G47" s="10" t="n">
        <v>65000</v>
      </c>
      <c r="H47" s="10" t="n">
        <f aca="false">+G47*19%</f>
        <v>12350</v>
      </c>
      <c r="I47" s="10" t="n">
        <f aca="false">+G47+H47</f>
        <v>77350</v>
      </c>
    </row>
    <row r="48" customFormat="false" ht="15" hidden="false" customHeight="true" outlineLevel="0" collapsed="false">
      <c r="A48" s="3" t="s">
        <v>120</v>
      </c>
      <c r="B48" s="8" t="s">
        <v>121</v>
      </c>
      <c r="C48" s="8" t="s">
        <v>122</v>
      </c>
      <c r="D48" s="8" t="n">
        <v>2025020192</v>
      </c>
      <c r="E48" s="6"/>
      <c r="F48" s="8" t="s">
        <v>100</v>
      </c>
      <c r="G48" s="10" t="n">
        <v>65000</v>
      </c>
      <c r="H48" s="10" t="n">
        <f aca="false">+G48*19%</f>
        <v>12350</v>
      </c>
      <c r="I48" s="10" t="n">
        <f aca="false">+G48+H48</f>
        <v>77350</v>
      </c>
    </row>
    <row r="49" customFormat="false" ht="15" hidden="false" customHeight="true" outlineLevel="0" collapsed="false">
      <c r="A49" s="3" t="s">
        <v>120</v>
      </c>
      <c r="B49" s="8" t="s">
        <v>121</v>
      </c>
      <c r="C49" s="8" t="s">
        <v>122</v>
      </c>
      <c r="D49" s="8" t="n">
        <v>2024031088</v>
      </c>
      <c r="E49" s="6"/>
      <c r="F49" s="8" t="s">
        <v>100</v>
      </c>
      <c r="G49" s="10" t="n">
        <v>65000</v>
      </c>
      <c r="H49" s="10" t="n">
        <f aca="false">+G49*19%</f>
        <v>12350</v>
      </c>
      <c r="I49" s="10" t="n">
        <f aca="false">+G49+H49</f>
        <v>77350</v>
      </c>
    </row>
    <row r="50" customFormat="false" ht="15" hidden="false" customHeight="true" outlineLevel="0" collapsed="false">
      <c r="A50" s="3" t="s">
        <v>120</v>
      </c>
      <c r="B50" s="8" t="s">
        <v>121</v>
      </c>
      <c r="C50" s="8" t="s">
        <v>122</v>
      </c>
      <c r="D50" s="8" t="n">
        <v>2024032669</v>
      </c>
      <c r="E50" s="6"/>
      <c r="F50" s="8" t="s">
        <v>100</v>
      </c>
      <c r="G50" s="10" t="n">
        <v>65000</v>
      </c>
      <c r="H50" s="10" t="n">
        <f aca="false">+G50*19%</f>
        <v>12350</v>
      </c>
      <c r="I50" s="10" t="n">
        <f aca="false">+G50+H50</f>
        <v>77350</v>
      </c>
    </row>
    <row r="51" customFormat="false" ht="15" hidden="false" customHeight="true" outlineLevel="0" collapsed="false">
      <c r="A51" s="3" t="s">
        <v>123</v>
      </c>
      <c r="B51" s="8" t="s">
        <v>124</v>
      </c>
      <c r="C51" s="8" t="s">
        <v>125</v>
      </c>
      <c r="D51" s="8" t="n">
        <v>23120050286</v>
      </c>
      <c r="E51" s="6"/>
      <c r="F51" s="8" t="s">
        <v>100</v>
      </c>
      <c r="G51" s="10" t="n">
        <v>65000</v>
      </c>
      <c r="H51" s="10" t="n">
        <f aca="false">+G51*19%</f>
        <v>12350</v>
      </c>
      <c r="I51" s="10" t="n">
        <f aca="false">+G51+H51</f>
        <v>77350</v>
      </c>
    </row>
    <row r="52" customFormat="false" ht="15" hidden="false" customHeight="true" outlineLevel="0" collapsed="false">
      <c r="A52" s="3" t="s">
        <v>123</v>
      </c>
      <c r="B52" s="8" t="s">
        <v>124</v>
      </c>
      <c r="C52" s="8" t="s">
        <v>125</v>
      </c>
      <c r="D52" s="8" t="n">
        <v>23120050302</v>
      </c>
      <c r="E52" s="6"/>
      <c r="F52" s="8" t="s">
        <v>100</v>
      </c>
      <c r="G52" s="10" t="n">
        <v>65000</v>
      </c>
      <c r="H52" s="10" t="n">
        <f aca="false">+G52*19%</f>
        <v>12350</v>
      </c>
      <c r="I52" s="10" t="n">
        <f aca="false">+G52+H52</f>
        <v>77350</v>
      </c>
    </row>
    <row r="53" customFormat="false" ht="15" hidden="false" customHeight="true" outlineLevel="0" collapsed="false">
      <c r="A53" s="3" t="s">
        <v>123</v>
      </c>
      <c r="B53" s="8" t="s">
        <v>121</v>
      </c>
      <c r="C53" s="8" t="s">
        <v>125</v>
      </c>
      <c r="D53" s="8" t="n">
        <v>23120050298</v>
      </c>
      <c r="E53" s="6"/>
      <c r="F53" s="8" t="s">
        <v>100</v>
      </c>
      <c r="G53" s="10" t="n">
        <v>65000</v>
      </c>
      <c r="H53" s="10" t="n">
        <f aca="false">+G53*19%</f>
        <v>12350</v>
      </c>
      <c r="I53" s="10" t="n">
        <f aca="false">+G53+H53</f>
        <v>77350</v>
      </c>
    </row>
    <row r="54" customFormat="false" ht="15" hidden="false" customHeight="true" outlineLevel="0" collapsed="false">
      <c r="A54" s="3" t="s">
        <v>123</v>
      </c>
      <c r="B54" s="8" t="s">
        <v>124</v>
      </c>
      <c r="C54" s="8" t="s">
        <v>125</v>
      </c>
      <c r="D54" s="8" t="n">
        <v>24100080084</v>
      </c>
      <c r="E54" s="6"/>
      <c r="F54" s="8" t="s">
        <v>100</v>
      </c>
      <c r="G54" s="10" t="n">
        <v>65000</v>
      </c>
      <c r="H54" s="10" t="n">
        <f aca="false">+G54*19%</f>
        <v>12350</v>
      </c>
      <c r="I54" s="10" t="n">
        <f aca="false">+G54+H54</f>
        <v>77350</v>
      </c>
    </row>
    <row r="55" customFormat="false" ht="15" hidden="false" customHeight="true" outlineLevel="0" collapsed="false">
      <c r="A55" s="3" t="s">
        <v>20</v>
      </c>
      <c r="B55" s="8" t="s">
        <v>124</v>
      </c>
      <c r="C55" s="8" t="s">
        <v>125</v>
      </c>
      <c r="D55" s="8" t="n">
        <v>25080102263</v>
      </c>
      <c r="E55" s="6"/>
      <c r="F55" s="8" t="s">
        <v>100</v>
      </c>
      <c r="G55" s="10" t="n">
        <v>65000</v>
      </c>
      <c r="H55" s="10" t="n">
        <f aca="false">+G55*19%</f>
        <v>12350</v>
      </c>
      <c r="I55" s="10" t="n">
        <f aca="false">+G55+H55</f>
        <v>77350</v>
      </c>
    </row>
    <row r="56" customFormat="false" ht="14.25" hidden="false" customHeight="false" outlineLevel="0" collapsed="false">
      <c r="A56" s="3" t="s">
        <v>126</v>
      </c>
      <c r="B56" s="11" t="s">
        <v>127</v>
      </c>
      <c r="C56" s="11"/>
      <c r="D56" s="11"/>
      <c r="E56" s="11"/>
      <c r="F56" s="11" t="s">
        <v>34</v>
      </c>
      <c r="G56" s="25"/>
      <c r="H56" s="25" t="n">
        <f aca="false">+G56*19%</f>
        <v>0</v>
      </c>
      <c r="I56" s="25" t="n">
        <f aca="false">+G56+H56</f>
        <v>0</v>
      </c>
    </row>
    <row r="57" customFormat="false" ht="15" hidden="false" customHeight="true" outlineLevel="0" collapsed="false">
      <c r="A57" s="3" t="s">
        <v>128</v>
      </c>
      <c r="B57" s="8" t="s">
        <v>129</v>
      </c>
      <c r="C57" s="8" t="s">
        <v>130</v>
      </c>
      <c r="D57" s="8" t="s">
        <v>131</v>
      </c>
      <c r="E57" s="6"/>
      <c r="F57" s="8" t="s">
        <v>110</v>
      </c>
      <c r="G57" s="10" t="n">
        <v>60000</v>
      </c>
      <c r="H57" s="10" t="n">
        <f aca="false">+G57*19%</f>
        <v>11400</v>
      </c>
      <c r="I57" s="10" t="n">
        <f aca="false">+G57+H57</f>
        <v>71400</v>
      </c>
    </row>
    <row r="58" customFormat="false" ht="15.65" hidden="false" customHeight="false" outlineLevel="0" collapsed="false">
      <c r="A58" s="3" t="s">
        <v>132</v>
      </c>
      <c r="B58" s="26" t="s">
        <v>133</v>
      </c>
      <c r="C58" s="14" t="s">
        <v>134</v>
      </c>
      <c r="D58" s="27" t="n">
        <v>242299601805</v>
      </c>
      <c r="E58" s="6"/>
      <c r="F58" s="14" t="s">
        <v>135</v>
      </c>
      <c r="G58" s="15" t="n">
        <v>65000</v>
      </c>
      <c r="H58" s="15" t="n">
        <f aca="false">+G58*19%</f>
        <v>12350</v>
      </c>
      <c r="I58" s="15" t="n">
        <f aca="false">+G58+H58</f>
        <v>77350</v>
      </c>
    </row>
    <row r="59" customFormat="false" ht="15" hidden="false" customHeight="true" outlineLevel="0" collapsed="false">
      <c r="A59" s="3" t="s">
        <v>20</v>
      </c>
      <c r="B59" s="8" t="s">
        <v>21</v>
      </c>
      <c r="C59" s="8" t="s">
        <v>22</v>
      </c>
      <c r="D59" s="8" t="s">
        <v>136</v>
      </c>
      <c r="E59" s="6"/>
      <c r="F59" s="8" t="s">
        <v>137</v>
      </c>
      <c r="G59" s="10" t="n">
        <v>60000</v>
      </c>
      <c r="H59" s="10" t="n">
        <f aca="false">+G59*19%</f>
        <v>11400</v>
      </c>
      <c r="I59" s="10" t="n">
        <f aca="false">+G59+H59</f>
        <v>71400</v>
      </c>
    </row>
    <row r="60" customFormat="false" ht="14.25" hidden="false" customHeight="false" outlineLevel="0" collapsed="false">
      <c r="A60" s="3" t="s">
        <v>138</v>
      </c>
      <c r="B60" s="6" t="s">
        <v>114</v>
      </c>
      <c r="C60" s="14"/>
      <c r="D60" s="14" t="n">
        <v>228</v>
      </c>
      <c r="E60" s="6"/>
      <c r="F60" s="14"/>
      <c r="G60" s="28"/>
      <c r="H60" s="28" t="n">
        <f aca="false">+G60*19%</f>
        <v>0</v>
      </c>
      <c r="I60" s="28" t="n">
        <f aca="false">+G60+H60</f>
        <v>0</v>
      </c>
    </row>
    <row r="61" customFormat="false" ht="14.25" hidden="false" customHeight="false" outlineLevel="0" collapsed="false">
      <c r="A61" s="3" t="s">
        <v>138</v>
      </c>
      <c r="B61" s="6" t="s">
        <v>114</v>
      </c>
      <c r="C61" s="14"/>
      <c r="D61" s="14" t="n">
        <v>128</v>
      </c>
      <c r="E61" s="6"/>
      <c r="F61" s="14"/>
      <c r="G61" s="28"/>
      <c r="H61" s="28" t="n">
        <f aca="false">+G61*19%</f>
        <v>0</v>
      </c>
      <c r="I61" s="28" t="n">
        <f aca="false">+G61+H61</f>
        <v>0</v>
      </c>
    </row>
    <row r="62" customFormat="false" ht="14.25" hidden="false" customHeight="false" outlineLevel="0" collapsed="false">
      <c r="A62" s="3" t="s">
        <v>139</v>
      </c>
      <c r="B62" s="6" t="s">
        <v>121</v>
      </c>
      <c r="C62" s="26"/>
      <c r="D62" s="14"/>
      <c r="E62" s="6"/>
      <c r="F62" s="14" t="s">
        <v>135</v>
      </c>
      <c r="G62" s="15" t="n">
        <v>85000</v>
      </c>
      <c r="H62" s="15" t="n">
        <f aca="false">+G62*19%</f>
        <v>16150</v>
      </c>
      <c r="I62" s="15" t="n">
        <f aca="false">+G62+H62</f>
        <v>101150</v>
      </c>
    </row>
    <row r="63" customFormat="false" ht="14.25" hidden="false" customHeight="false" outlineLevel="0" collapsed="false">
      <c r="A63" s="3" t="s">
        <v>138</v>
      </c>
      <c r="B63" s="14" t="s">
        <v>140</v>
      </c>
      <c r="C63" s="14" t="s">
        <v>140</v>
      </c>
      <c r="D63" s="14" t="s">
        <v>140</v>
      </c>
      <c r="E63" s="6"/>
      <c r="F63" s="14" t="s">
        <v>24</v>
      </c>
      <c r="G63" s="28"/>
      <c r="H63" s="28" t="n">
        <f aca="false">+G63*19%</f>
        <v>0</v>
      </c>
      <c r="I63" s="28" t="n">
        <f aca="false">+G63+H63</f>
        <v>0</v>
      </c>
    </row>
    <row r="64" customFormat="false" ht="15.65" hidden="false" customHeight="false" outlineLevel="0" collapsed="false">
      <c r="A64" s="3" t="s">
        <v>141</v>
      </c>
      <c r="B64" s="26" t="s">
        <v>142</v>
      </c>
      <c r="C64" s="14" t="n">
        <v>60813</v>
      </c>
      <c r="D64" s="14"/>
      <c r="E64" s="6"/>
      <c r="F64" s="14"/>
      <c r="G64" s="28"/>
      <c r="H64" s="28" t="n">
        <f aca="false">+G64*19%</f>
        <v>0</v>
      </c>
      <c r="I64" s="28" t="n">
        <f aca="false">+G64+H64</f>
        <v>0</v>
      </c>
    </row>
    <row r="65" customFormat="false" ht="15" hidden="false" customHeight="true" outlineLevel="0" collapsed="false">
      <c r="A65" s="3" t="s">
        <v>12</v>
      </c>
      <c r="B65" s="8" t="s">
        <v>143</v>
      </c>
      <c r="C65" s="8" t="s">
        <v>144</v>
      </c>
      <c r="D65" s="8" t="s">
        <v>145</v>
      </c>
      <c r="E65" s="6"/>
      <c r="F65" s="8" t="s">
        <v>34</v>
      </c>
      <c r="G65" s="10" t="n">
        <v>130000</v>
      </c>
      <c r="H65" s="10" t="n">
        <f aca="false">+G65*19%</f>
        <v>24700</v>
      </c>
      <c r="I65" s="10" t="n">
        <f aca="false">+G65+H65</f>
        <v>154700</v>
      </c>
    </row>
    <row r="66" customFormat="false" ht="15" hidden="false" customHeight="true" outlineLevel="0" collapsed="false">
      <c r="A66" s="3" t="s">
        <v>12</v>
      </c>
      <c r="B66" s="8" t="s">
        <v>143</v>
      </c>
      <c r="C66" s="8" t="n">
        <v>370420</v>
      </c>
      <c r="D66" s="8" t="s">
        <v>146</v>
      </c>
      <c r="E66" s="6"/>
      <c r="F66" s="8" t="s">
        <v>15</v>
      </c>
      <c r="G66" s="10" t="n">
        <v>120000</v>
      </c>
      <c r="H66" s="10" t="n">
        <f aca="false">+G66*19%</f>
        <v>22800</v>
      </c>
      <c r="I66" s="10" t="n">
        <f aca="false">+G66+H66</f>
        <v>142800</v>
      </c>
    </row>
    <row r="67" customFormat="false" ht="15" hidden="false" customHeight="true" outlineLevel="0" collapsed="false">
      <c r="A67" s="3" t="s">
        <v>12</v>
      </c>
      <c r="B67" s="8" t="s">
        <v>143</v>
      </c>
      <c r="C67" s="8" t="s">
        <v>147</v>
      </c>
      <c r="D67" s="8" t="s">
        <v>148</v>
      </c>
      <c r="E67" s="6"/>
      <c r="F67" s="8" t="s">
        <v>15</v>
      </c>
      <c r="G67" s="10" t="n">
        <v>120000</v>
      </c>
      <c r="H67" s="10" t="n">
        <f aca="false">+G67*19%</f>
        <v>22800</v>
      </c>
      <c r="I67" s="10" t="n">
        <f aca="false">+G67+H67</f>
        <v>142800</v>
      </c>
    </row>
    <row r="68" customFormat="false" ht="27" hidden="false" customHeight="true" outlineLevel="0" collapsed="false">
      <c r="A68" s="29" t="s">
        <v>149</v>
      </c>
      <c r="B68" s="30" t="s">
        <v>150</v>
      </c>
      <c r="C68" s="30" t="s">
        <v>151</v>
      </c>
      <c r="D68" s="31" t="n">
        <v>202207090803998</v>
      </c>
      <c r="E68" s="6"/>
      <c r="F68" s="32" t="s">
        <v>24</v>
      </c>
      <c r="G68" s="7" t="n">
        <v>65000</v>
      </c>
      <c r="H68" s="7" t="n">
        <f aca="false">+G68*19%</f>
        <v>12350</v>
      </c>
      <c r="I68" s="7" t="n">
        <f aca="false">+G68+H68</f>
        <v>77350</v>
      </c>
    </row>
    <row r="69" customFormat="false" ht="27" hidden="false" customHeight="true" outlineLevel="0" collapsed="false">
      <c r="A69" s="29" t="s">
        <v>149</v>
      </c>
      <c r="B69" s="30" t="s">
        <v>150</v>
      </c>
      <c r="C69" s="30" t="s">
        <v>151</v>
      </c>
      <c r="D69" s="31" t="n">
        <v>202207090803992</v>
      </c>
      <c r="E69" s="6"/>
      <c r="F69" s="32" t="s">
        <v>24</v>
      </c>
      <c r="G69" s="7" t="n">
        <v>65000</v>
      </c>
      <c r="H69" s="7" t="n">
        <f aca="false">+G69*19%</f>
        <v>12350</v>
      </c>
      <c r="I69" s="7" t="n">
        <f aca="false">+G69+H69</f>
        <v>77350</v>
      </c>
    </row>
    <row r="70" customFormat="false" ht="15" hidden="false" customHeight="true" outlineLevel="0" collapsed="false">
      <c r="A70" s="3" t="s">
        <v>152</v>
      </c>
      <c r="B70" s="8" t="s">
        <v>21</v>
      </c>
      <c r="C70" s="8" t="s">
        <v>153</v>
      </c>
      <c r="D70" s="8" t="s">
        <v>154</v>
      </c>
      <c r="E70" s="6"/>
      <c r="F70" s="8" t="s">
        <v>155</v>
      </c>
      <c r="G70" s="10" t="n">
        <v>70000</v>
      </c>
      <c r="H70" s="10" t="n">
        <f aca="false">+G70*19%</f>
        <v>13300</v>
      </c>
      <c r="I70" s="10" t="n">
        <f aca="false">+G70+H70</f>
        <v>83300</v>
      </c>
    </row>
    <row r="71" customFormat="false" ht="15" hidden="false" customHeight="true" outlineLevel="0" collapsed="false">
      <c r="A71" s="3" t="s">
        <v>25</v>
      </c>
      <c r="B71" s="8" t="s">
        <v>26</v>
      </c>
      <c r="C71" s="8" t="s">
        <v>27</v>
      </c>
      <c r="D71" s="8" t="s">
        <v>156</v>
      </c>
      <c r="E71" s="6"/>
      <c r="F71" s="8" t="s">
        <v>157</v>
      </c>
      <c r="G71" s="10" t="n">
        <v>75000</v>
      </c>
      <c r="H71" s="10" t="n">
        <f aca="false">+G71*19%</f>
        <v>14250</v>
      </c>
      <c r="I71" s="10" t="n">
        <f aca="false">+G71+H71</f>
        <v>89250</v>
      </c>
    </row>
    <row r="72" customFormat="false" ht="15" hidden="false" customHeight="true" outlineLevel="0" collapsed="false">
      <c r="A72" s="3" t="s">
        <v>158</v>
      </c>
      <c r="B72" s="8"/>
      <c r="C72" s="8"/>
      <c r="D72" s="8"/>
      <c r="E72" s="6"/>
      <c r="F72" s="8" t="s">
        <v>159</v>
      </c>
      <c r="G72" s="33"/>
      <c r="H72" s="33" t="n">
        <f aca="false">+G72*19%</f>
        <v>0</v>
      </c>
      <c r="I72" s="33" t="n">
        <f aca="false">+G72+H72</f>
        <v>0</v>
      </c>
    </row>
    <row r="73" customFormat="false" ht="15" hidden="false" customHeight="true" outlineLevel="0" collapsed="false">
      <c r="A73" s="3" t="s">
        <v>25</v>
      </c>
      <c r="B73" s="8" t="s">
        <v>26</v>
      </c>
      <c r="C73" s="8" t="s">
        <v>29</v>
      </c>
      <c r="D73" s="8" t="s">
        <v>160</v>
      </c>
      <c r="E73" s="6"/>
      <c r="F73" s="8" t="s">
        <v>24</v>
      </c>
      <c r="G73" s="10" t="n">
        <v>75000</v>
      </c>
      <c r="H73" s="10" t="n">
        <f aca="false">+G73*19%</f>
        <v>14250</v>
      </c>
      <c r="I73" s="10" t="n">
        <f aca="false">+G73+H73</f>
        <v>89250</v>
      </c>
    </row>
    <row r="74" customFormat="false" ht="15" hidden="false" customHeight="true" outlineLevel="0" collapsed="false">
      <c r="A74" s="3" t="s">
        <v>25</v>
      </c>
      <c r="B74" s="8" t="s">
        <v>161</v>
      </c>
      <c r="C74" s="8" t="s">
        <v>162</v>
      </c>
      <c r="D74" s="8" t="s">
        <v>163</v>
      </c>
      <c r="E74" s="6"/>
      <c r="F74" s="8" t="s">
        <v>111</v>
      </c>
      <c r="G74" s="10" t="n">
        <v>70000</v>
      </c>
      <c r="H74" s="10" t="n">
        <f aca="false">+G74*19%</f>
        <v>13300</v>
      </c>
      <c r="I74" s="10" t="n">
        <f aca="false">+G74+H74</f>
        <v>83300</v>
      </c>
    </row>
    <row r="75" customFormat="false" ht="15" hidden="false" customHeight="true" outlineLevel="0" collapsed="false">
      <c r="A75" s="3" t="s">
        <v>141</v>
      </c>
      <c r="B75" s="26" t="s">
        <v>142</v>
      </c>
      <c r="C75" s="14" t="n">
        <v>69064</v>
      </c>
      <c r="D75" s="14"/>
      <c r="E75" s="6"/>
      <c r="F75" s="8" t="s">
        <v>24</v>
      </c>
      <c r="G75" s="33"/>
      <c r="H75" s="33" t="n">
        <f aca="false">+G75*19%</f>
        <v>0</v>
      </c>
      <c r="I75" s="33" t="n">
        <f aca="false">+G75+H75</f>
        <v>0</v>
      </c>
    </row>
    <row r="76" customFormat="false" ht="15" hidden="false" customHeight="true" outlineLevel="0" collapsed="false">
      <c r="A76" s="3" t="s">
        <v>164</v>
      </c>
      <c r="B76" s="8" t="s">
        <v>165</v>
      </c>
      <c r="C76" s="8" t="s">
        <v>166</v>
      </c>
      <c r="D76" s="8" t="s">
        <v>167</v>
      </c>
      <c r="E76" s="6"/>
      <c r="F76" s="8" t="s">
        <v>111</v>
      </c>
      <c r="G76" s="10" t="n">
        <v>70000</v>
      </c>
      <c r="H76" s="10" t="n">
        <f aca="false">+G76*19%</f>
        <v>13300</v>
      </c>
      <c r="I76" s="10" t="n">
        <f aca="false">+G76+H76</f>
        <v>83300</v>
      </c>
    </row>
    <row r="77" customFormat="false" ht="15.65" hidden="false" customHeight="false" outlineLevel="0" collapsed="false">
      <c r="A77" s="3" t="s">
        <v>168</v>
      </c>
      <c r="B77" s="26" t="s">
        <v>169</v>
      </c>
      <c r="C77" s="14"/>
      <c r="D77" s="14"/>
      <c r="E77" s="6"/>
      <c r="F77" s="14" t="s">
        <v>24</v>
      </c>
      <c r="G77" s="15" t="n">
        <v>70000</v>
      </c>
      <c r="H77" s="15" t="n">
        <f aca="false">+G77*19%</f>
        <v>13300</v>
      </c>
      <c r="I77" s="15" t="n">
        <f aca="false">+G77+H77</f>
        <v>83300</v>
      </c>
    </row>
    <row r="78" customFormat="false" ht="15" hidden="false" customHeight="true" outlineLevel="0" collapsed="false">
      <c r="A78" s="3" t="s">
        <v>168</v>
      </c>
      <c r="B78" s="8" t="s">
        <v>114</v>
      </c>
      <c r="C78" s="14"/>
      <c r="D78" s="14"/>
      <c r="E78" s="6"/>
      <c r="F78" s="14" t="s">
        <v>24</v>
      </c>
      <c r="G78" s="15" t="n">
        <v>70000</v>
      </c>
      <c r="H78" s="15" t="n">
        <f aca="false">+G78*19%</f>
        <v>13300</v>
      </c>
      <c r="I78" s="15" t="n">
        <f aca="false">+G78+H78</f>
        <v>83300</v>
      </c>
    </row>
    <row r="79" customFormat="false" ht="14.25" hidden="false" customHeight="false" outlineLevel="0" collapsed="false">
      <c r="A79" s="3" t="s">
        <v>170</v>
      </c>
      <c r="B79" s="11" t="s">
        <v>171</v>
      </c>
      <c r="C79" s="11" t="s">
        <v>172</v>
      </c>
      <c r="D79" s="11" t="n">
        <v>900000148</v>
      </c>
      <c r="E79" s="11" t="s">
        <v>173</v>
      </c>
      <c r="F79" s="11" t="s">
        <v>34</v>
      </c>
      <c r="G79" s="12" t="n">
        <v>95000</v>
      </c>
      <c r="H79" s="12" t="n">
        <f aca="false">+G79*19%</f>
        <v>18050</v>
      </c>
      <c r="I79" s="12" t="n">
        <f aca="false">+G79+H79</f>
        <v>113050</v>
      </c>
    </row>
    <row r="80" customFormat="false" ht="15" hidden="false" customHeight="true" outlineLevel="0" collapsed="false">
      <c r="A80" s="3" t="s">
        <v>174</v>
      </c>
      <c r="B80" s="8" t="s">
        <v>26</v>
      </c>
      <c r="C80" s="8" t="s">
        <v>175</v>
      </c>
      <c r="D80" s="8" t="s">
        <v>176</v>
      </c>
      <c r="E80" s="6"/>
      <c r="F80" s="8" t="s">
        <v>24</v>
      </c>
      <c r="G80" s="10" t="n">
        <v>75000</v>
      </c>
      <c r="H80" s="10" t="n">
        <f aca="false">+G80*19%</f>
        <v>14250</v>
      </c>
      <c r="I80" s="10" t="n">
        <f aca="false">+G80+H80</f>
        <v>89250</v>
      </c>
    </row>
    <row r="81" customFormat="false" ht="15" hidden="false" customHeight="true" outlineLevel="0" collapsed="false">
      <c r="A81" s="3" t="s">
        <v>177</v>
      </c>
      <c r="B81" s="8" t="s">
        <v>21</v>
      </c>
      <c r="C81" s="8" t="s">
        <v>178</v>
      </c>
      <c r="D81" s="8" t="s">
        <v>179</v>
      </c>
      <c r="E81" s="6"/>
      <c r="F81" s="8" t="s">
        <v>180</v>
      </c>
      <c r="G81" s="10" t="n">
        <v>80000</v>
      </c>
      <c r="H81" s="10" t="n">
        <f aca="false">+G81*19%</f>
        <v>15200</v>
      </c>
      <c r="I81" s="10" t="n">
        <f aca="false">+G81+H81</f>
        <v>95200</v>
      </c>
    </row>
    <row r="82" customFormat="false" ht="15" hidden="false" customHeight="true" outlineLevel="0" collapsed="false">
      <c r="A82" s="3" t="s">
        <v>177</v>
      </c>
      <c r="B82" s="8" t="s">
        <v>181</v>
      </c>
      <c r="C82" s="8" t="s">
        <v>182</v>
      </c>
      <c r="D82" s="8" t="s">
        <v>183</v>
      </c>
      <c r="E82" s="6"/>
      <c r="F82" s="8" t="s">
        <v>184</v>
      </c>
      <c r="G82" s="10" t="n">
        <v>60000</v>
      </c>
      <c r="H82" s="10" t="n">
        <f aca="false">+G82*19%</f>
        <v>11400</v>
      </c>
      <c r="I82" s="10" t="n">
        <f aca="false">+G82+H82</f>
        <v>71400</v>
      </c>
    </row>
    <row r="83" customFormat="false" ht="15" hidden="false" customHeight="true" outlineLevel="0" collapsed="false">
      <c r="A83" s="3" t="s">
        <v>185</v>
      </c>
      <c r="B83" s="8" t="s">
        <v>186</v>
      </c>
      <c r="C83" s="8" t="s">
        <v>187</v>
      </c>
      <c r="D83" s="8" t="s">
        <v>188</v>
      </c>
      <c r="E83" s="6"/>
      <c r="F83" s="8" t="s">
        <v>111</v>
      </c>
      <c r="G83" s="10" t="n">
        <v>95000</v>
      </c>
      <c r="H83" s="10" t="n">
        <f aca="false">+G83*19%</f>
        <v>18050</v>
      </c>
      <c r="I83" s="10" t="n">
        <f aca="false">+G83+H83</f>
        <v>113050</v>
      </c>
    </row>
    <row r="84" customFormat="false" ht="14.25" hidden="false" customHeight="false" outlineLevel="0" collapsed="false">
      <c r="A84" s="3" t="s">
        <v>189</v>
      </c>
      <c r="B84" s="18" t="s">
        <v>26</v>
      </c>
      <c r="C84" s="18" t="s">
        <v>190</v>
      </c>
      <c r="D84" s="19" t="s">
        <v>191</v>
      </c>
      <c r="E84" s="6"/>
      <c r="F84" s="18" t="s">
        <v>192</v>
      </c>
      <c r="G84" s="7" t="n">
        <v>95000</v>
      </c>
      <c r="H84" s="7" t="n">
        <f aca="false">+G84*19%</f>
        <v>18050</v>
      </c>
      <c r="I84" s="7" t="n">
        <f aca="false">+G84+H84</f>
        <v>113050</v>
      </c>
    </row>
    <row r="85" customFormat="false" ht="15" hidden="false" customHeight="true" outlineLevel="0" collapsed="false">
      <c r="A85" s="3" t="s">
        <v>193</v>
      </c>
      <c r="B85" s="8" t="s">
        <v>194</v>
      </c>
      <c r="C85" s="8" t="s">
        <v>195</v>
      </c>
      <c r="D85" s="8" t="n">
        <v>2015076668</v>
      </c>
      <c r="E85" s="6"/>
      <c r="F85" s="8" t="s">
        <v>89</v>
      </c>
      <c r="G85" s="10" t="n">
        <v>130000</v>
      </c>
      <c r="H85" s="10" t="n">
        <f aca="false">+G85*19%</f>
        <v>24700</v>
      </c>
      <c r="I85" s="10" t="n">
        <f aca="false">+G85+H85</f>
        <v>154700</v>
      </c>
    </row>
    <row r="86" customFormat="false" ht="15" hidden="false" customHeight="true" outlineLevel="0" collapsed="false">
      <c r="A86" s="3" t="s">
        <v>193</v>
      </c>
      <c r="B86" s="8" t="s">
        <v>196</v>
      </c>
      <c r="C86" s="8" t="s">
        <v>197</v>
      </c>
      <c r="D86" s="8" t="n">
        <v>241204010</v>
      </c>
      <c r="E86" s="6"/>
      <c r="F86" s="8" t="s">
        <v>89</v>
      </c>
      <c r="G86" s="10" t="n">
        <v>130000</v>
      </c>
      <c r="H86" s="10" t="n">
        <f aca="false">+G86*19%</f>
        <v>24700</v>
      </c>
      <c r="I86" s="10" t="n">
        <f aca="false">+G86+H86</f>
        <v>154700</v>
      </c>
    </row>
    <row r="87" customFormat="false" ht="14.25" hidden="false" customHeight="false" outlineLevel="0" collapsed="false">
      <c r="A87" s="3" t="s">
        <v>198</v>
      </c>
      <c r="B87" s="11" t="s">
        <v>32</v>
      </c>
      <c r="C87" s="11" t="s">
        <v>199</v>
      </c>
      <c r="D87" s="11" t="n">
        <v>13721</v>
      </c>
      <c r="E87" s="11"/>
      <c r="F87" s="11" t="s">
        <v>34</v>
      </c>
      <c r="G87" s="12" t="n">
        <v>95000</v>
      </c>
      <c r="H87" s="12" t="n">
        <f aca="false">+G87*19%</f>
        <v>18050</v>
      </c>
      <c r="I87" s="12" t="n">
        <f aca="false">+G87+H87</f>
        <v>113050</v>
      </c>
    </row>
    <row r="88" customFormat="false" ht="14.25" hidden="false" customHeight="false" outlineLevel="0" collapsed="false">
      <c r="A88" s="3" t="s">
        <v>200</v>
      </c>
      <c r="B88" s="11" t="s">
        <v>201</v>
      </c>
      <c r="C88" s="11" t="s">
        <v>202</v>
      </c>
      <c r="D88" s="11" t="s">
        <v>203</v>
      </c>
      <c r="E88" s="11" t="s">
        <v>204</v>
      </c>
      <c r="F88" s="11" t="s">
        <v>34</v>
      </c>
      <c r="G88" s="12" t="n">
        <v>80000</v>
      </c>
      <c r="H88" s="12" t="n">
        <f aca="false">+G88*19%</f>
        <v>15200</v>
      </c>
      <c r="I88" s="12" t="n">
        <f aca="false">+G88+H88</f>
        <v>95200</v>
      </c>
    </row>
    <row r="89" customFormat="false" ht="15" hidden="false" customHeight="true" outlineLevel="0" collapsed="false">
      <c r="A89" s="3" t="s">
        <v>205</v>
      </c>
      <c r="B89" s="8" t="s">
        <v>206</v>
      </c>
      <c r="C89" s="8" t="s">
        <v>207</v>
      </c>
      <c r="D89" s="8" t="n">
        <v>4008438</v>
      </c>
      <c r="E89" s="6"/>
      <c r="F89" s="8" t="s">
        <v>24</v>
      </c>
      <c r="G89" s="10" t="n">
        <v>65000</v>
      </c>
      <c r="H89" s="10" t="n">
        <f aca="false">+G89*19%</f>
        <v>12350</v>
      </c>
      <c r="I89" s="10" t="n">
        <f aca="false">+G89+H89</f>
        <v>77350</v>
      </c>
    </row>
    <row r="90" customFormat="false" ht="15" hidden="false" customHeight="true" outlineLevel="0" collapsed="false">
      <c r="A90" s="3" t="s">
        <v>205</v>
      </c>
      <c r="B90" s="8" t="s">
        <v>206</v>
      </c>
      <c r="C90" s="8" t="s">
        <v>207</v>
      </c>
      <c r="D90" s="8" t="s">
        <v>208</v>
      </c>
      <c r="E90" s="6"/>
      <c r="F90" s="8" t="s">
        <v>24</v>
      </c>
      <c r="G90" s="10" t="n">
        <v>65000</v>
      </c>
      <c r="H90" s="10" t="n">
        <f aca="false">+G90*19%</f>
        <v>12350</v>
      </c>
      <c r="I90" s="10" t="n">
        <f aca="false">+G90+H90</f>
        <v>77350</v>
      </c>
    </row>
    <row r="91" customFormat="false" ht="15" hidden="false" customHeight="true" outlineLevel="0" collapsed="false">
      <c r="A91" s="3" t="s">
        <v>205</v>
      </c>
      <c r="B91" s="8" t="s">
        <v>209</v>
      </c>
      <c r="C91" s="8" t="s">
        <v>210</v>
      </c>
      <c r="D91" s="34" t="n">
        <v>91380120080016</v>
      </c>
      <c r="E91" s="6"/>
      <c r="F91" s="8" t="s">
        <v>159</v>
      </c>
      <c r="G91" s="10" t="n">
        <v>65000</v>
      </c>
      <c r="H91" s="10" t="n">
        <f aca="false">+G91*19%</f>
        <v>12350</v>
      </c>
      <c r="I91" s="10" t="n">
        <f aca="false">+G91+H91</f>
        <v>77350</v>
      </c>
    </row>
    <row r="92" customFormat="false" ht="15" hidden="false" customHeight="true" outlineLevel="0" collapsed="false">
      <c r="A92" s="3" t="s">
        <v>211</v>
      </c>
      <c r="B92" s="8" t="s">
        <v>129</v>
      </c>
      <c r="C92" s="8" t="s">
        <v>212</v>
      </c>
      <c r="D92" s="8"/>
      <c r="E92" s="6"/>
      <c r="F92" s="8" t="s">
        <v>100</v>
      </c>
      <c r="G92" s="10" t="n">
        <v>65000</v>
      </c>
      <c r="H92" s="10" t="n">
        <f aca="false">+G92*19%</f>
        <v>12350</v>
      </c>
      <c r="I92" s="10" t="n">
        <f aca="false">+G92+H92</f>
        <v>77350</v>
      </c>
    </row>
    <row r="93" customFormat="false" ht="15" hidden="false" customHeight="true" outlineLevel="0" collapsed="false">
      <c r="A93" s="3" t="s">
        <v>211</v>
      </c>
      <c r="B93" s="8" t="s">
        <v>129</v>
      </c>
      <c r="C93" s="8" t="s">
        <v>212</v>
      </c>
      <c r="D93" s="8"/>
      <c r="E93" s="6"/>
      <c r="F93" s="8" t="s">
        <v>100</v>
      </c>
      <c r="G93" s="10" t="n">
        <v>65000</v>
      </c>
      <c r="H93" s="10" t="n">
        <f aca="false">+G93*19%</f>
        <v>12350</v>
      </c>
      <c r="I93" s="10" t="n">
        <f aca="false">+G93+H93</f>
        <v>77350</v>
      </c>
    </row>
    <row r="94" customFormat="false" ht="15" hidden="false" customHeight="true" outlineLevel="0" collapsed="false">
      <c r="A94" s="3" t="s">
        <v>211</v>
      </c>
      <c r="B94" s="8" t="s">
        <v>129</v>
      </c>
      <c r="C94" s="8" t="s">
        <v>212</v>
      </c>
      <c r="D94" s="8"/>
      <c r="E94" s="6"/>
      <c r="F94" s="8" t="s">
        <v>100</v>
      </c>
      <c r="G94" s="10" t="n">
        <v>65000</v>
      </c>
      <c r="H94" s="10" t="n">
        <f aca="false">+G94*19%</f>
        <v>12350</v>
      </c>
      <c r="I94" s="10" t="n">
        <f aca="false">+G94+H94</f>
        <v>77350</v>
      </c>
    </row>
    <row r="95" customFormat="false" ht="15" hidden="false" customHeight="true" outlineLevel="0" collapsed="false">
      <c r="A95" s="3" t="s">
        <v>211</v>
      </c>
      <c r="B95" s="8" t="s">
        <v>129</v>
      </c>
      <c r="C95" s="8" t="s">
        <v>212</v>
      </c>
      <c r="D95" s="8"/>
      <c r="E95" s="6"/>
      <c r="F95" s="8" t="s">
        <v>100</v>
      </c>
      <c r="G95" s="10" t="n">
        <v>65000</v>
      </c>
      <c r="H95" s="10" t="n">
        <f aca="false">+G95*19%</f>
        <v>12350</v>
      </c>
      <c r="I95" s="10" t="n">
        <f aca="false">+G95+H95</f>
        <v>77350</v>
      </c>
    </row>
    <row r="96" customFormat="false" ht="15" hidden="false" customHeight="true" outlineLevel="0" collapsed="false">
      <c r="A96" s="3" t="s">
        <v>211</v>
      </c>
      <c r="B96" s="8" t="s">
        <v>129</v>
      </c>
      <c r="C96" s="8"/>
      <c r="D96" s="8"/>
      <c r="E96" s="6"/>
      <c r="F96" s="8" t="s">
        <v>100</v>
      </c>
      <c r="G96" s="10" t="n">
        <v>65000</v>
      </c>
      <c r="H96" s="10" t="n">
        <f aca="false">+G96*19%</f>
        <v>12350</v>
      </c>
      <c r="I96" s="10" t="n">
        <f aca="false">+G96+H96</f>
        <v>77350</v>
      </c>
    </row>
    <row r="97" customFormat="false" ht="15" hidden="false" customHeight="true" outlineLevel="0" collapsed="false">
      <c r="A97" s="3" t="s">
        <v>76</v>
      </c>
      <c r="B97" s="8" t="s">
        <v>77</v>
      </c>
      <c r="C97" s="8" t="s">
        <v>78</v>
      </c>
      <c r="D97" s="8" t="n">
        <v>8639410</v>
      </c>
      <c r="E97" s="6"/>
      <c r="F97" s="8" t="s">
        <v>137</v>
      </c>
      <c r="G97" s="10" t="n">
        <v>65000</v>
      </c>
      <c r="H97" s="10" t="n">
        <f aca="false">+G97*19%</f>
        <v>12350</v>
      </c>
      <c r="I97" s="10" t="n">
        <f aca="false">+G97+H97</f>
        <v>77350</v>
      </c>
    </row>
    <row r="98" customFormat="false" ht="15" hidden="false" customHeight="true" outlineLevel="0" collapsed="false">
      <c r="A98" s="3" t="s">
        <v>76</v>
      </c>
      <c r="B98" s="8" t="s">
        <v>77</v>
      </c>
      <c r="C98" s="8" t="s">
        <v>78</v>
      </c>
      <c r="D98" s="8" t="n">
        <v>8639409</v>
      </c>
      <c r="E98" s="6"/>
      <c r="F98" s="8" t="s">
        <v>24</v>
      </c>
      <c r="G98" s="10" t="n">
        <v>65000</v>
      </c>
      <c r="H98" s="10" t="n">
        <f aca="false">+G98*19%</f>
        <v>12350</v>
      </c>
      <c r="I98" s="10" t="n">
        <f aca="false">+G98+H98</f>
        <v>77350</v>
      </c>
    </row>
    <row r="99" customFormat="false" ht="15" hidden="false" customHeight="true" outlineLevel="0" collapsed="false">
      <c r="A99" s="3" t="s">
        <v>76</v>
      </c>
      <c r="B99" s="8" t="s">
        <v>77</v>
      </c>
      <c r="C99" s="8" t="s">
        <v>78</v>
      </c>
      <c r="D99" s="8" t="n">
        <v>8639406</v>
      </c>
      <c r="E99" s="6"/>
      <c r="F99" s="8" t="s">
        <v>213</v>
      </c>
      <c r="G99" s="10" t="n">
        <v>65000</v>
      </c>
      <c r="H99" s="10" t="n">
        <f aca="false">+G99*19%</f>
        <v>12350</v>
      </c>
      <c r="I99" s="10" t="n">
        <f aca="false">+G99+H99</f>
        <v>77350</v>
      </c>
    </row>
    <row r="100" customFormat="false" ht="14.25" hidden="false" customHeight="false" outlineLevel="0" collapsed="false">
      <c r="A100" s="3" t="s">
        <v>214</v>
      </c>
      <c r="B100" s="20" t="s">
        <v>66</v>
      </c>
      <c r="C100" s="21" t="n">
        <v>336</v>
      </c>
      <c r="D100" s="20" t="s">
        <v>66</v>
      </c>
      <c r="E100" s="6"/>
      <c r="F100" s="21" t="s">
        <v>34</v>
      </c>
      <c r="G100" s="22" t="n">
        <v>70000</v>
      </c>
      <c r="H100" s="22" t="n">
        <f aca="false">+G100*19%</f>
        <v>13300</v>
      </c>
      <c r="I100" s="22" t="n">
        <f aca="false">+G100+H100</f>
        <v>83300</v>
      </c>
    </row>
    <row r="101" customFormat="false" ht="14.25" hidden="false" customHeight="false" outlineLevel="0" collapsed="false">
      <c r="A101" s="3" t="s">
        <v>215</v>
      </c>
      <c r="B101" s="11" t="s">
        <v>216</v>
      </c>
      <c r="C101" s="11" t="n">
        <v>3000</v>
      </c>
      <c r="D101" s="17" t="s">
        <v>217</v>
      </c>
      <c r="E101" s="17" t="s">
        <v>218</v>
      </c>
      <c r="F101" s="11" t="s">
        <v>60</v>
      </c>
      <c r="G101" s="12" t="n">
        <v>150000</v>
      </c>
      <c r="H101" s="12" t="n">
        <f aca="false">+G101*19%</f>
        <v>28500</v>
      </c>
      <c r="I101" s="12" t="n">
        <f aca="false">+G101+H101</f>
        <v>178500</v>
      </c>
    </row>
    <row r="102" customFormat="false" ht="14.25" hidden="false" customHeight="false" outlineLevel="0" collapsed="false">
      <c r="A102" s="3" t="s">
        <v>219</v>
      </c>
      <c r="B102" s="5" t="s">
        <v>220</v>
      </c>
      <c r="C102" s="5" t="s">
        <v>221</v>
      </c>
      <c r="D102" s="5" t="s">
        <v>222</v>
      </c>
      <c r="E102" s="6"/>
      <c r="F102" s="5" t="s">
        <v>223</v>
      </c>
      <c r="G102" s="7" t="n">
        <v>60000</v>
      </c>
      <c r="H102" s="7" t="n">
        <f aca="false">+G102*19%</f>
        <v>11400</v>
      </c>
      <c r="I102" s="7" t="n">
        <f aca="false">+G102+H102</f>
        <v>71400</v>
      </c>
    </row>
    <row r="103" customFormat="false" ht="14.25" hidden="false" customHeight="false" outlineLevel="0" collapsed="false">
      <c r="A103" s="3" t="s">
        <v>224</v>
      </c>
      <c r="B103" s="5" t="s">
        <v>225</v>
      </c>
      <c r="C103" s="5" t="s">
        <v>226</v>
      </c>
      <c r="D103" s="5" t="s">
        <v>227</v>
      </c>
      <c r="E103" s="6"/>
      <c r="F103" s="5" t="s">
        <v>228</v>
      </c>
      <c r="G103" s="7" t="n">
        <v>60000</v>
      </c>
      <c r="H103" s="7" t="n">
        <f aca="false">+G103*19%</f>
        <v>11400</v>
      </c>
      <c r="I103" s="7" t="n">
        <f aca="false">+G103+H103</f>
        <v>71400</v>
      </c>
    </row>
    <row r="104" customFormat="false" ht="14.25" hidden="false" customHeight="false" outlineLevel="0" collapsed="false">
      <c r="A104" s="3" t="s">
        <v>224</v>
      </c>
      <c r="B104" s="5"/>
      <c r="C104" s="5" t="s">
        <v>229</v>
      </c>
      <c r="D104" s="5"/>
      <c r="E104" s="6"/>
      <c r="F104" s="5" t="s">
        <v>70</v>
      </c>
      <c r="G104" s="7" t="n">
        <v>60000</v>
      </c>
      <c r="H104" s="7" t="n">
        <f aca="false">+G104*19%</f>
        <v>11400</v>
      </c>
      <c r="I104" s="7" t="n">
        <f aca="false">+G104+H104</f>
        <v>71400</v>
      </c>
    </row>
    <row r="105" customFormat="false" ht="14.25" hidden="false" customHeight="false" outlineLevel="0" collapsed="false">
      <c r="A105" s="3" t="s">
        <v>224</v>
      </c>
      <c r="B105" s="5" t="s">
        <v>230</v>
      </c>
      <c r="C105" s="5" t="s">
        <v>231</v>
      </c>
      <c r="D105" s="5" t="s">
        <v>232</v>
      </c>
      <c r="E105" s="6"/>
      <c r="F105" s="5" t="s">
        <v>192</v>
      </c>
      <c r="G105" s="7" t="n">
        <v>60000</v>
      </c>
      <c r="H105" s="7" t="n">
        <f aca="false">+G105*19%</f>
        <v>11400</v>
      </c>
      <c r="I105" s="7" t="n">
        <f aca="false">+G105+H105</f>
        <v>71400</v>
      </c>
    </row>
    <row r="106" customFormat="false" ht="14.25" hidden="false" customHeight="false" outlineLevel="0" collapsed="false">
      <c r="A106" s="3" t="s">
        <v>224</v>
      </c>
      <c r="B106" s="5" t="s">
        <v>233</v>
      </c>
      <c r="C106" s="5" t="s">
        <v>234</v>
      </c>
      <c r="D106" s="35" t="s">
        <v>235</v>
      </c>
      <c r="E106" s="6"/>
      <c r="F106" s="5" t="s">
        <v>236</v>
      </c>
      <c r="G106" s="7" t="n">
        <v>60000</v>
      </c>
      <c r="H106" s="7" t="n">
        <f aca="false">+G106*19%</f>
        <v>11400</v>
      </c>
      <c r="I106" s="7" t="n">
        <f aca="false">+G106+H106</f>
        <v>71400</v>
      </c>
    </row>
    <row r="107" customFormat="false" ht="14.25" hidden="false" customHeight="false" outlineLevel="0" collapsed="false">
      <c r="A107" s="3" t="s">
        <v>224</v>
      </c>
      <c r="B107" s="5" t="s">
        <v>233</v>
      </c>
      <c r="C107" s="5" t="s">
        <v>234</v>
      </c>
      <c r="D107" s="5" t="s">
        <v>237</v>
      </c>
      <c r="E107" s="6"/>
      <c r="F107" s="5" t="s">
        <v>236</v>
      </c>
      <c r="G107" s="7" t="n">
        <v>60000</v>
      </c>
      <c r="H107" s="7" t="n">
        <f aca="false">+G107*19%</f>
        <v>11400</v>
      </c>
      <c r="I107" s="7" t="n">
        <f aca="false">+G107+H107</f>
        <v>71400</v>
      </c>
    </row>
    <row r="108" customFormat="false" ht="14.25" hidden="false" customHeight="false" outlineLevel="0" collapsed="false">
      <c r="A108" s="3" t="s">
        <v>238</v>
      </c>
      <c r="B108" s="11" t="s">
        <v>239</v>
      </c>
      <c r="C108" s="11" t="s">
        <v>240</v>
      </c>
      <c r="D108" s="11"/>
      <c r="E108" s="11"/>
      <c r="F108" s="11" t="s">
        <v>60</v>
      </c>
      <c r="G108" s="12" t="n">
        <v>65000</v>
      </c>
      <c r="H108" s="12" t="n">
        <f aca="false">+G108*19%</f>
        <v>12350</v>
      </c>
      <c r="I108" s="12" t="n">
        <f aca="false">+G108+H108</f>
        <v>77350</v>
      </c>
    </row>
    <row r="109" customFormat="false" ht="15" hidden="false" customHeight="true" outlineLevel="0" collapsed="false">
      <c r="A109" s="3" t="s">
        <v>35</v>
      </c>
      <c r="B109" s="8" t="s">
        <v>40</v>
      </c>
      <c r="C109" s="8" t="s">
        <v>241</v>
      </c>
      <c r="D109" s="8" t="n">
        <v>6891</v>
      </c>
      <c r="E109" s="6"/>
      <c r="F109" s="8" t="s">
        <v>242</v>
      </c>
      <c r="G109" s="10" t="n">
        <v>70000</v>
      </c>
      <c r="H109" s="10" t="n">
        <f aca="false">+G109*19%</f>
        <v>13300</v>
      </c>
      <c r="I109" s="10" t="n">
        <f aca="false">+G109+H109</f>
        <v>83300</v>
      </c>
    </row>
    <row r="110" customFormat="false" ht="15" hidden="false" customHeight="true" outlineLevel="0" collapsed="false">
      <c r="A110" s="3" t="s">
        <v>35</v>
      </c>
      <c r="B110" s="8" t="s">
        <v>40</v>
      </c>
      <c r="C110" s="8" t="s">
        <v>41</v>
      </c>
      <c r="D110" s="8" t="n">
        <v>23012617151</v>
      </c>
      <c r="E110" s="6"/>
      <c r="F110" s="8" t="s">
        <v>243</v>
      </c>
      <c r="G110" s="10" t="n">
        <v>65000</v>
      </c>
      <c r="H110" s="10" t="n">
        <f aca="false">+G110*19%</f>
        <v>12350</v>
      </c>
      <c r="I110" s="10" t="n">
        <f aca="false">+G110+H110</f>
        <v>77350</v>
      </c>
    </row>
    <row r="111" customFormat="false" ht="15" hidden="false" customHeight="true" outlineLevel="0" collapsed="false">
      <c r="A111" s="3" t="s">
        <v>35</v>
      </c>
      <c r="B111" s="8" t="s">
        <v>40</v>
      </c>
      <c r="C111" s="8" t="s">
        <v>41</v>
      </c>
      <c r="D111" s="8" t="n">
        <v>150502753</v>
      </c>
      <c r="E111" s="6"/>
      <c r="F111" s="8" t="s">
        <v>106</v>
      </c>
      <c r="G111" s="10" t="n">
        <v>65000</v>
      </c>
      <c r="H111" s="10" t="n">
        <f aca="false">+G111*19%</f>
        <v>12350</v>
      </c>
      <c r="I111" s="10" t="n">
        <f aca="false">+G111+H111</f>
        <v>77350</v>
      </c>
    </row>
    <row r="112" customFormat="false" ht="15" hidden="false" customHeight="true" outlineLevel="0" collapsed="false">
      <c r="A112" s="3" t="s">
        <v>35</v>
      </c>
      <c r="B112" s="8" t="s">
        <v>40</v>
      </c>
      <c r="C112" s="8" t="s">
        <v>244</v>
      </c>
      <c r="D112" s="8" t="s">
        <v>38</v>
      </c>
      <c r="E112" s="6"/>
      <c r="F112" s="8" t="s">
        <v>245</v>
      </c>
      <c r="G112" s="9" t="n">
        <v>70000</v>
      </c>
      <c r="H112" s="10" t="n">
        <f aca="false">+G112*19%</f>
        <v>13300</v>
      </c>
      <c r="I112" s="10" t="n">
        <f aca="false">+G112+H112</f>
        <v>83300</v>
      </c>
    </row>
    <row r="113" customFormat="false" ht="15" hidden="false" customHeight="true" outlineLevel="0" collapsed="false">
      <c r="A113" s="3" t="s">
        <v>120</v>
      </c>
      <c r="B113" s="8" t="s">
        <v>121</v>
      </c>
      <c r="C113" s="8" t="s">
        <v>122</v>
      </c>
      <c r="D113" s="8" t="n">
        <v>2024031836</v>
      </c>
      <c r="E113" s="6"/>
      <c r="F113" s="8" t="s">
        <v>100</v>
      </c>
      <c r="G113" s="10" t="n">
        <v>65000</v>
      </c>
      <c r="H113" s="10" t="n">
        <f aca="false">+G113*19%</f>
        <v>12350</v>
      </c>
      <c r="I113" s="10" t="n">
        <f aca="false">+G113+H113</f>
        <v>77350</v>
      </c>
    </row>
    <row r="114" customFormat="false" ht="14.25" hidden="false" customHeight="false" outlineLevel="0" collapsed="false">
      <c r="A114" s="3" t="s">
        <v>219</v>
      </c>
      <c r="B114" s="26"/>
      <c r="C114" s="14"/>
      <c r="D114" s="14" t="n">
        <v>1289</v>
      </c>
      <c r="E114" s="6"/>
      <c r="F114" s="14" t="s">
        <v>246</v>
      </c>
      <c r="G114" s="15" t="n">
        <v>60000</v>
      </c>
      <c r="H114" s="15" t="n">
        <f aca="false">+G114*19%</f>
        <v>11400</v>
      </c>
      <c r="I114" s="15" t="n">
        <f aca="false">+G114+H114</f>
        <v>71400</v>
      </c>
    </row>
    <row r="115" customFormat="false" ht="15.65" hidden="false" customHeight="false" outlineLevel="0" collapsed="false">
      <c r="A115" s="3" t="s">
        <v>247</v>
      </c>
      <c r="B115" s="26" t="s">
        <v>248</v>
      </c>
      <c r="C115" s="14"/>
      <c r="D115" s="14" t="s">
        <v>249</v>
      </c>
      <c r="E115" s="6"/>
      <c r="F115" s="14"/>
      <c r="G115" s="36" t="n">
        <v>60000</v>
      </c>
      <c r="H115" s="15" t="n">
        <f aca="false">+G115*19%</f>
        <v>11400</v>
      </c>
      <c r="I115" s="15" t="n">
        <f aca="false">+G115+H115</f>
        <v>71400</v>
      </c>
    </row>
    <row r="116" customFormat="false" ht="15" hidden="false" customHeight="true" outlineLevel="0" collapsed="false">
      <c r="A116" s="3" t="s">
        <v>120</v>
      </c>
      <c r="B116" s="8" t="s">
        <v>250</v>
      </c>
      <c r="C116" s="8" t="s">
        <v>251</v>
      </c>
      <c r="D116" s="8" t="n">
        <v>25021780</v>
      </c>
      <c r="E116" s="6"/>
      <c r="F116" s="8" t="s">
        <v>180</v>
      </c>
      <c r="G116" s="10" t="n">
        <v>65000</v>
      </c>
      <c r="H116" s="10" t="n">
        <f aca="false">+G116*19%</f>
        <v>12350</v>
      </c>
      <c r="I116" s="10" t="n">
        <f aca="false">+G116+H116</f>
        <v>77350</v>
      </c>
    </row>
    <row r="117" customFormat="false" ht="15" hidden="false" customHeight="true" outlineLevel="0" collapsed="false">
      <c r="A117" s="3" t="s">
        <v>252</v>
      </c>
      <c r="B117" s="8" t="s">
        <v>114</v>
      </c>
      <c r="C117" s="8"/>
      <c r="D117" s="23" t="n">
        <v>211016134608</v>
      </c>
      <c r="E117" s="6"/>
      <c r="F117" s="8" t="s">
        <v>79</v>
      </c>
      <c r="G117" s="10" t="n">
        <v>65000</v>
      </c>
      <c r="H117" s="10" t="n">
        <f aca="false">+G117*19%</f>
        <v>12350</v>
      </c>
      <c r="I117" s="10" t="n">
        <f aca="false">+G117+H117</f>
        <v>77350</v>
      </c>
    </row>
    <row r="118" customFormat="false" ht="15" hidden="false" customHeight="true" outlineLevel="0" collapsed="false">
      <c r="A118" s="3" t="s">
        <v>123</v>
      </c>
      <c r="B118" s="8" t="s">
        <v>124</v>
      </c>
      <c r="C118" s="8" t="s">
        <v>122</v>
      </c>
      <c r="D118" s="8" t="n">
        <v>25080102266</v>
      </c>
      <c r="E118" s="6"/>
      <c r="F118" s="8" t="s">
        <v>100</v>
      </c>
      <c r="G118" s="10" t="n">
        <v>65000</v>
      </c>
      <c r="H118" s="10" t="n">
        <f aca="false">+G118*19%</f>
        <v>12350</v>
      </c>
      <c r="I118" s="10" t="n">
        <f aca="false">+G118+H118</f>
        <v>77350</v>
      </c>
    </row>
    <row r="119" customFormat="false" ht="15.65" hidden="false" customHeight="false" outlineLevel="0" collapsed="false">
      <c r="A119" s="3" t="s">
        <v>253</v>
      </c>
      <c r="B119" s="26" t="s">
        <v>254</v>
      </c>
      <c r="C119" s="14"/>
      <c r="D119" s="14"/>
      <c r="E119" s="6"/>
      <c r="F119" s="14"/>
      <c r="G119" s="28"/>
      <c r="H119" s="28" t="n">
        <f aca="false">+G119*19%</f>
        <v>0</v>
      </c>
      <c r="I119" s="28" t="n">
        <f aca="false">+G119+H119</f>
        <v>0</v>
      </c>
    </row>
    <row r="120" customFormat="false" ht="15.65" hidden="false" customHeight="false" outlineLevel="0" collapsed="false">
      <c r="A120" s="3" t="s">
        <v>255</v>
      </c>
      <c r="B120" s="26" t="s">
        <v>256</v>
      </c>
      <c r="C120" s="6" t="s">
        <v>257</v>
      </c>
      <c r="D120" s="14" t="s">
        <v>258</v>
      </c>
      <c r="E120" s="6"/>
      <c r="F120" s="14"/>
      <c r="G120" s="28"/>
      <c r="H120" s="28" t="n">
        <f aca="false">+G120*19%</f>
        <v>0</v>
      </c>
      <c r="I120" s="28" t="n">
        <f aca="false">+G120+H120</f>
        <v>0</v>
      </c>
    </row>
    <row r="121" customFormat="false" ht="15" hidden="false" customHeight="true" outlineLevel="0" collapsed="false">
      <c r="A121" s="3" t="s">
        <v>211</v>
      </c>
      <c r="B121" s="8" t="s">
        <v>129</v>
      </c>
      <c r="C121" s="8" t="s">
        <v>212</v>
      </c>
      <c r="D121" s="8"/>
      <c r="E121" s="6"/>
      <c r="F121" s="8" t="s">
        <v>100</v>
      </c>
      <c r="G121" s="10" t="n">
        <v>65000</v>
      </c>
      <c r="H121" s="10" t="n">
        <f aca="false">+G121*19%</f>
        <v>12350</v>
      </c>
      <c r="I121" s="10" t="n">
        <f aca="false">+G121+H121</f>
        <v>77350</v>
      </c>
    </row>
    <row r="122" customFormat="false" ht="15.65" hidden="false" customHeight="false" outlineLevel="0" collapsed="false">
      <c r="A122" s="3" t="s">
        <v>259</v>
      </c>
      <c r="B122" s="26" t="s">
        <v>260</v>
      </c>
      <c r="C122" s="14" t="s">
        <v>261</v>
      </c>
      <c r="D122" s="14" t="s">
        <v>262</v>
      </c>
      <c r="E122" s="6"/>
      <c r="F122" s="14"/>
      <c r="G122" s="15" t="n">
        <v>70000</v>
      </c>
      <c r="H122" s="15" t="n">
        <f aca="false">+G122*19%</f>
        <v>13300</v>
      </c>
      <c r="I122" s="15" t="n">
        <f aca="false">+G122+H122</f>
        <v>83300</v>
      </c>
    </row>
    <row r="123" customFormat="false" ht="15.65" hidden="false" customHeight="false" outlineLevel="0" collapsed="false">
      <c r="A123" s="3" t="s">
        <v>259</v>
      </c>
      <c r="B123" s="26" t="s">
        <v>260</v>
      </c>
      <c r="C123" s="14" t="s">
        <v>261</v>
      </c>
      <c r="D123" s="14" t="s">
        <v>263</v>
      </c>
      <c r="E123" s="6"/>
      <c r="F123" s="14" t="s">
        <v>24</v>
      </c>
      <c r="G123" s="15" t="n">
        <v>70000</v>
      </c>
      <c r="H123" s="15" t="n">
        <f aca="false">+G123*19%</f>
        <v>13300</v>
      </c>
      <c r="I123" s="15" t="n">
        <f aca="false">+G123+H123</f>
        <v>83300</v>
      </c>
    </row>
    <row r="124" customFormat="false" ht="14.25" hidden="false" customHeight="false" outlineLevel="0" collapsed="false">
      <c r="A124" s="3" t="s">
        <v>264</v>
      </c>
      <c r="B124" s="26"/>
      <c r="C124" s="6" t="s">
        <v>265</v>
      </c>
      <c r="D124" s="14" t="n">
        <v>2203018</v>
      </c>
      <c r="E124" s="6"/>
      <c r="F124" s="14"/>
      <c r="G124" s="28"/>
      <c r="H124" s="28" t="n">
        <f aca="false">+G124*19%</f>
        <v>0</v>
      </c>
      <c r="I124" s="28" t="n">
        <f aca="false">+G124+H124</f>
        <v>0</v>
      </c>
    </row>
    <row r="125" customFormat="false" ht="14.25" hidden="false" customHeight="false" outlineLevel="0" collapsed="false">
      <c r="A125" s="3" t="s">
        <v>266</v>
      </c>
      <c r="B125" s="6" t="s">
        <v>267</v>
      </c>
      <c r="C125" s="14" t="s">
        <v>268</v>
      </c>
      <c r="D125" s="14" t="n">
        <v>15520</v>
      </c>
      <c r="E125" s="6"/>
      <c r="F125" s="14" t="s">
        <v>269</v>
      </c>
      <c r="G125" s="15" t="n">
        <v>65000</v>
      </c>
      <c r="H125" s="15" t="n">
        <f aca="false">+G125*19%</f>
        <v>12350</v>
      </c>
      <c r="I125" s="15" t="n">
        <f aca="false">+G125+H125</f>
        <v>77350</v>
      </c>
    </row>
    <row r="126" customFormat="false" ht="15.65" hidden="false" customHeight="false" outlineLevel="0" collapsed="false">
      <c r="A126" s="3" t="s">
        <v>168</v>
      </c>
      <c r="B126" s="26" t="s">
        <v>68</v>
      </c>
      <c r="C126" s="14" t="s">
        <v>270</v>
      </c>
      <c r="D126" s="14"/>
      <c r="E126" s="6"/>
      <c r="F126" s="14"/>
      <c r="G126" s="15" t="n">
        <v>60000</v>
      </c>
      <c r="H126" s="15" t="n">
        <f aca="false">+G126*19%</f>
        <v>11400</v>
      </c>
      <c r="I126" s="15" t="n">
        <f aca="false">+G126+H126</f>
        <v>71400</v>
      </c>
    </row>
    <row r="127" customFormat="false" ht="28.5" hidden="false" customHeight="true" outlineLevel="0" collapsed="false">
      <c r="A127" s="3" t="s">
        <v>271</v>
      </c>
      <c r="B127" s="26" t="s">
        <v>272</v>
      </c>
      <c r="C127" s="14"/>
      <c r="D127" s="14"/>
      <c r="E127" s="6"/>
      <c r="F127" s="8" t="s">
        <v>273</v>
      </c>
      <c r="G127" s="33"/>
      <c r="H127" s="33" t="n">
        <f aca="false">+G127*19%</f>
        <v>0</v>
      </c>
      <c r="I127" s="33" t="n">
        <f aca="false">+G127+H127</f>
        <v>0</v>
      </c>
    </row>
    <row r="128" customFormat="false" ht="15.65" hidden="false" customHeight="false" outlineLevel="0" collapsed="false">
      <c r="A128" s="3" t="s">
        <v>132</v>
      </c>
      <c r="B128" s="26" t="s">
        <v>124</v>
      </c>
      <c r="C128" s="14" t="s">
        <v>125</v>
      </c>
      <c r="D128" s="14" t="n">
        <v>25080102267</v>
      </c>
      <c r="E128" s="6"/>
      <c r="F128" s="14" t="s">
        <v>135</v>
      </c>
      <c r="G128" s="15" t="n">
        <v>65000</v>
      </c>
      <c r="H128" s="15" t="n">
        <f aca="false">+G128*19%</f>
        <v>12350</v>
      </c>
      <c r="I128" s="15" t="n">
        <f aca="false">+G128+H128</f>
        <v>77350</v>
      </c>
    </row>
    <row r="129" customFormat="false" ht="15" hidden="false" customHeight="true" outlineLevel="0" collapsed="false">
      <c r="A129" s="3" t="s">
        <v>20</v>
      </c>
      <c r="B129" s="8" t="s">
        <v>21</v>
      </c>
      <c r="C129" s="8" t="s">
        <v>274</v>
      </c>
      <c r="D129" s="34" t="n">
        <v>191009103270</v>
      </c>
      <c r="E129" s="6"/>
      <c r="F129" s="8" t="s">
        <v>273</v>
      </c>
      <c r="G129" s="10" t="n">
        <v>60000</v>
      </c>
      <c r="H129" s="10" t="n">
        <f aca="false">+G129*19%</f>
        <v>11400</v>
      </c>
      <c r="I129" s="10" t="n">
        <f aca="false">+G129+H129</f>
        <v>71400</v>
      </c>
    </row>
    <row r="130" customFormat="false" ht="15" hidden="false" customHeight="true" outlineLevel="0" collapsed="false">
      <c r="A130" s="3" t="s">
        <v>12</v>
      </c>
      <c r="B130" s="8" t="s">
        <v>275</v>
      </c>
      <c r="C130" s="8" t="s">
        <v>17</v>
      </c>
      <c r="D130" s="8" t="s">
        <v>276</v>
      </c>
      <c r="E130" s="6"/>
      <c r="F130" s="8" t="s">
        <v>24</v>
      </c>
      <c r="G130" s="10" t="n">
        <v>130000</v>
      </c>
      <c r="H130" s="10" t="n">
        <f aca="false">+G130*19%</f>
        <v>24700</v>
      </c>
      <c r="I130" s="10" t="n">
        <f aca="false">+G130+H130</f>
        <v>154700</v>
      </c>
    </row>
    <row r="131" customFormat="false" ht="14.25" hidden="false" customHeight="false" outlineLevel="0" collapsed="false">
      <c r="A131" s="3" t="s">
        <v>277</v>
      </c>
      <c r="B131" s="6" t="s">
        <v>62</v>
      </c>
      <c r="C131" s="6" t="s">
        <v>278</v>
      </c>
      <c r="D131" s="14"/>
      <c r="E131" s="6"/>
      <c r="F131" s="14"/>
      <c r="G131" s="15" t="n">
        <v>60000</v>
      </c>
      <c r="H131" s="15" t="n">
        <f aca="false">+G131*19%</f>
        <v>11400</v>
      </c>
      <c r="I131" s="15" t="n">
        <f aca="false">+G131+H131</f>
        <v>71400</v>
      </c>
    </row>
    <row r="132" customFormat="false" ht="14.25" hidden="false" customHeight="false" outlineLevel="0" collapsed="false">
      <c r="A132" s="3" t="s">
        <v>279</v>
      </c>
      <c r="B132" s="11" t="s">
        <v>114</v>
      </c>
      <c r="C132" s="6" t="s">
        <v>280</v>
      </c>
      <c r="D132" s="11" t="n">
        <v>901067</v>
      </c>
      <c r="E132" s="11" t="s">
        <v>281</v>
      </c>
      <c r="F132" s="11" t="s">
        <v>34</v>
      </c>
      <c r="G132" s="37" t="n">
        <v>95000</v>
      </c>
      <c r="H132" s="12" t="n">
        <f aca="false">+G132*19%</f>
        <v>18050</v>
      </c>
      <c r="I132" s="12" t="n">
        <f aca="false">+G132+H132</f>
        <v>113050</v>
      </c>
    </row>
    <row r="133" customFormat="false" ht="14.25" hidden="false" customHeight="false" outlineLevel="0" collapsed="false">
      <c r="A133" s="3" t="s">
        <v>282</v>
      </c>
      <c r="B133" s="6" t="s">
        <v>267</v>
      </c>
      <c r="C133" s="18" t="s">
        <v>283</v>
      </c>
      <c r="D133" s="19" t="s">
        <v>284</v>
      </c>
      <c r="E133" s="6"/>
      <c r="F133" s="18" t="s">
        <v>70</v>
      </c>
      <c r="G133" s="7" t="n">
        <v>65000</v>
      </c>
      <c r="H133" s="7" t="n">
        <f aca="false">+G133*19%</f>
        <v>12350</v>
      </c>
      <c r="I133" s="7" t="n">
        <f aca="false">+G133+H133</f>
        <v>77350</v>
      </c>
    </row>
    <row r="134" customFormat="false" ht="14.25" hidden="false" customHeight="false" outlineLevel="0" collapsed="false">
      <c r="A134" s="3" t="s">
        <v>67</v>
      </c>
      <c r="B134" s="18" t="s">
        <v>285</v>
      </c>
      <c r="C134" s="18" t="s">
        <v>286</v>
      </c>
      <c r="D134" s="19"/>
      <c r="E134" s="6"/>
      <c r="F134" s="18" t="s">
        <v>228</v>
      </c>
      <c r="G134" s="7" t="n">
        <v>60000</v>
      </c>
      <c r="H134" s="7" t="n">
        <f aca="false">+G134*19%</f>
        <v>11400</v>
      </c>
      <c r="I134" s="7" t="n">
        <f aca="false">+G134+H134</f>
        <v>71400</v>
      </c>
    </row>
    <row r="135" customFormat="false" ht="14.25" hidden="false" customHeight="false" outlineLevel="0" collapsed="false">
      <c r="A135" s="3" t="s">
        <v>287</v>
      </c>
      <c r="B135" s="11" t="s">
        <v>288</v>
      </c>
      <c r="C135" s="11"/>
      <c r="D135" s="11"/>
      <c r="E135" s="11" t="s">
        <v>289</v>
      </c>
      <c r="F135" s="11" t="s">
        <v>60</v>
      </c>
      <c r="G135" s="12" t="n">
        <v>320000</v>
      </c>
      <c r="H135" s="12" t="n">
        <f aca="false">+G135*19%</f>
        <v>60800</v>
      </c>
      <c r="I135" s="12" t="n">
        <f aca="false">+G135+H135</f>
        <v>380800</v>
      </c>
    </row>
    <row r="136" customFormat="false" ht="15" hidden="false" customHeight="true" outlineLevel="0" collapsed="false">
      <c r="A136" s="3" t="s">
        <v>290</v>
      </c>
      <c r="B136" s="8" t="s">
        <v>26</v>
      </c>
      <c r="C136" s="8" t="s">
        <v>291</v>
      </c>
      <c r="D136" s="8" t="s">
        <v>292</v>
      </c>
      <c r="E136" s="6"/>
      <c r="F136" s="8" t="s">
        <v>293</v>
      </c>
      <c r="G136" s="10" t="n">
        <v>95000</v>
      </c>
      <c r="H136" s="10" t="n">
        <f aca="false">+G136*19%</f>
        <v>18050</v>
      </c>
      <c r="I136" s="10" t="n">
        <f aca="false">+G136+H136</f>
        <v>113050</v>
      </c>
    </row>
    <row r="137" customFormat="false" ht="15" hidden="false" customHeight="true" outlineLevel="0" collapsed="false">
      <c r="A137" s="3" t="s">
        <v>193</v>
      </c>
      <c r="B137" s="8" t="s">
        <v>294</v>
      </c>
      <c r="C137" s="8" t="s">
        <v>295</v>
      </c>
      <c r="D137" s="8" t="s">
        <v>296</v>
      </c>
      <c r="E137" s="6"/>
      <c r="F137" s="8" t="s">
        <v>297</v>
      </c>
      <c r="G137" s="10" t="n">
        <v>130000</v>
      </c>
      <c r="H137" s="10" t="n">
        <f aca="false">+G137*19%</f>
        <v>24700</v>
      </c>
      <c r="I137" s="10" t="n">
        <f aca="false">+G137+H137</f>
        <v>154700</v>
      </c>
    </row>
    <row r="138" customFormat="false" ht="15" hidden="false" customHeight="true" outlineLevel="0" collapsed="false">
      <c r="A138" s="3" t="s">
        <v>298</v>
      </c>
      <c r="B138" s="8" t="s">
        <v>299</v>
      </c>
      <c r="C138" s="8" t="s">
        <v>300</v>
      </c>
      <c r="D138" s="8" t="s">
        <v>301</v>
      </c>
      <c r="E138" s="6"/>
      <c r="F138" s="8" t="s">
        <v>34</v>
      </c>
      <c r="G138" s="9" t="n">
        <v>60000</v>
      </c>
      <c r="H138" s="10" t="n">
        <f aca="false">+G138*19%</f>
        <v>11400</v>
      </c>
      <c r="I138" s="10" t="n">
        <f aca="false">+G138+H138</f>
        <v>71400</v>
      </c>
    </row>
    <row r="139" customFormat="false" ht="15" hidden="false" customHeight="true" outlineLevel="0" collapsed="false">
      <c r="A139" s="3" t="s">
        <v>302</v>
      </c>
      <c r="B139" s="6" t="s">
        <v>32</v>
      </c>
      <c r="C139" s="6" t="n">
        <v>2030</v>
      </c>
      <c r="D139" s="8"/>
      <c r="E139" s="6"/>
      <c r="F139" s="8" t="s">
        <v>303</v>
      </c>
      <c r="G139" s="9" t="n">
        <v>95000</v>
      </c>
      <c r="H139" s="10" t="n">
        <f aca="false">+G139*19%</f>
        <v>18050</v>
      </c>
      <c r="I139" s="10" t="n">
        <f aca="false">+G139+H139</f>
        <v>113050</v>
      </c>
    </row>
    <row r="140" customFormat="false" ht="14.25" hidden="false" customHeight="false" outlineLevel="0" collapsed="false">
      <c r="A140" s="3" t="s">
        <v>304</v>
      </c>
      <c r="B140" s="5" t="s">
        <v>305</v>
      </c>
      <c r="C140" s="5" t="s">
        <v>306</v>
      </c>
      <c r="D140" s="5" t="s">
        <v>307</v>
      </c>
      <c r="E140" s="6"/>
      <c r="F140" s="5" t="s">
        <v>242</v>
      </c>
      <c r="G140" s="7" t="n">
        <v>150000</v>
      </c>
      <c r="H140" s="7" t="n">
        <f aca="false">+G140*19%</f>
        <v>28500</v>
      </c>
      <c r="I140" s="7" t="n">
        <f aca="false">+G140+H140</f>
        <v>178500</v>
      </c>
    </row>
    <row r="141" customFormat="false" ht="14.25" hidden="false" customHeight="false" outlineLevel="0" collapsed="false">
      <c r="A141" s="3" t="s">
        <v>308</v>
      </c>
      <c r="B141" s="11" t="s">
        <v>309</v>
      </c>
      <c r="C141" s="11" t="s">
        <v>310</v>
      </c>
      <c r="D141" s="11" t="s">
        <v>311</v>
      </c>
      <c r="E141" s="11" t="s">
        <v>312</v>
      </c>
      <c r="F141" s="11" t="s">
        <v>34</v>
      </c>
      <c r="G141" s="12" t="n">
        <v>90000</v>
      </c>
      <c r="H141" s="12" t="n">
        <f aca="false">+G141*19%</f>
        <v>17100</v>
      </c>
      <c r="I141" s="12" t="n">
        <f aca="false">+G141+H141</f>
        <v>107100</v>
      </c>
    </row>
    <row r="142" customFormat="false" ht="14.25" hidden="false" customHeight="false" outlineLevel="0" collapsed="false">
      <c r="A142" s="3" t="s">
        <v>313</v>
      </c>
      <c r="B142" s="11" t="s">
        <v>314</v>
      </c>
      <c r="C142" s="11" t="s">
        <v>315</v>
      </c>
      <c r="D142" s="11" t="n">
        <v>831057658</v>
      </c>
      <c r="E142" s="11" t="s">
        <v>316</v>
      </c>
      <c r="F142" s="11" t="s">
        <v>34</v>
      </c>
      <c r="G142" s="12" t="n">
        <v>90000</v>
      </c>
      <c r="H142" s="12" t="n">
        <f aca="false">+G142*19%</f>
        <v>17100</v>
      </c>
      <c r="I142" s="12" t="n">
        <f aca="false">+G142+H142</f>
        <v>107100</v>
      </c>
    </row>
    <row r="143" customFormat="false" ht="15" hidden="false" customHeight="true" outlineLevel="0" collapsed="false">
      <c r="A143" s="3" t="s">
        <v>317</v>
      </c>
      <c r="B143" s="8" t="s">
        <v>318</v>
      </c>
      <c r="C143" s="8" t="s">
        <v>319</v>
      </c>
      <c r="D143" s="8" t="s">
        <v>320</v>
      </c>
      <c r="E143" s="6"/>
      <c r="F143" s="8" t="s">
        <v>60</v>
      </c>
      <c r="G143" s="10" t="n">
        <v>320000</v>
      </c>
      <c r="H143" s="10" t="n">
        <f aca="false">+G143*19%</f>
        <v>60800</v>
      </c>
      <c r="I143" s="10" t="n">
        <f aca="false">+G143+H143</f>
        <v>380800</v>
      </c>
    </row>
    <row r="144" customFormat="false" ht="15" hidden="false" customHeight="true" outlineLevel="0" collapsed="false">
      <c r="A144" s="3" t="s">
        <v>87</v>
      </c>
      <c r="B144" s="8" t="s">
        <v>321</v>
      </c>
      <c r="C144" s="8" t="s">
        <v>322</v>
      </c>
      <c r="D144" s="8" t="s">
        <v>323</v>
      </c>
      <c r="E144" s="6"/>
      <c r="F144" s="8" t="s">
        <v>34</v>
      </c>
      <c r="G144" s="10" t="n">
        <v>320000</v>
      </c>
      <c r="H144" s="10" t="n">
        <f aca="false">+G144*19%</f>
        <v>60800</v>
      </c>
      <c r="I144" s="10" t="n">
        <f aca="false">+G144+H144</f>
        <v>380800</v>
      </c>
    </row>
    <row r="145" customFormat="false" ht="15" hidden="false" customHeight="true" outlineLevel="0" collapsed="false">
      <c r="A145" s="3" t="s">
        <v>317</v>
      </c>
      <c r="B145" s="8" t="s">
        <v>13</v>
      </c>
      <c r="C145" s="8"/>
      <c r="D145" s="8" t="s">
        <v>324</v>
      </c>
      <c r="E145" s="6"/>
      <c r="F145" s="8" t="s">
        <v>106</v>
      </c>
      <c r="G145" s="10" t="n">
        <v>320000</v>
      </c>
      <c r="H145" s="10" t="n">
        <f aca="false">+G145*19%</f>
        <v>60800</v>
      </c>
      <c r="I145" s="10" t="n">
        <f aca="false">+G145+H145</f>
        <v>380800</v>
      </c>
    </row>
    <row r="146" customFormat="false" ht="15" hidden="false" customHeight="true" outlineLevel="0" collapsed="false">
      <c r="A146" s="3" t="s">
        <v>325</v>
      </c>
      <c r="B146" s="8"/>
      <c r="C146" s="8"/>
      <c r="D146" s="8" t="s">
        <v>326</v>
      </c>
      <c r="E146" s="6"/>
      <c r="F146" s="8" t="s">
        <v>106</v>
      </c>
      <c r="G146" s="10" t="n">
        <v>55000</v>
      </c>
      <c r="H146" s="10" t="n">
        <f aca="false">+G146*19%</f>
        <v>10450</v>
      </c>
      <c r="I146" s="10" t="n">
        <f aca="false">+G146+H146</f>
        <v>65450</v>
      </c>
    </row>
    <row r="147" customFormat="false" ht="15" hidden="false" customHeight="true" outlineLevel="0" collapsed="false">
      <c r="A147" s="3" t="s">
        <v>325</v>
      </c>
      <c r="B147" s="8"/>
      <c r="C147" s="8"/>
      <c r="D147" s="8" t="s">
        <v>327</v>
      </c>
      <c r="E147" s="6"/>
      <c r="F147" s="8" t="s">
        <v>106</v>
      </c>
      <c r="G147" s="10" t="n">
        <v>55000</v>
      </c>
      <c r="H147" s="10" t="n">
        <f aca="false">+G147*19%</f>
        <v>10450</v>
      </c>
      <c r="I147" s="10" t="n">
        <f aca="false">+G147+H147</f>
        <v>65450</v>
      </c>
    </row>
    <row r="148" customFormat="false" ht="15" hidden="false" customHeight="true" outlineLevel="0" collapsed="false">
      <c r="A148" s="3" t="s">
        <v>325</v>
      </c>
      <c r="B148" s="8" t="s">
        <v>328</v>
      </c>
      <c r="C148" s="8"/>
      <c r="D148" s="8" t="s">
        <v>329</v>
      </c>
      <c r="E148" s="6"/>
      <c r="F148" s="8" t="s">
        <v>106</v>
      </c>
      <c r="G148" s="10" t="n">
        <v>55000</v>
      </c>
      <c r="H148" s="10" t="n">
        <f aca="false">+G148*19%</f>
        <v>10450</v>
      </c>
      <c r="I148" s="10" t="n">
        <f aca="false">+G148+H148</f>
        <v>65450</v>
      </c>
    </row>
    <row r="149" customFormat="false" ht="15" hidden="false" customHeight="true" outlineLevel="0" collapsed="false">
      <c r="A149" s="3" t="s">
        <v>325</v>
      </c>
      <c r="B149" s="8" t="s">
        <v>330</v>
      </c>
      <c r="C149" s="8"/>
      <c r="D149" s="8" t="n">
        <v>2675</v>
      </c>
      <c r="E149" s="6"/>
      <c r="F149" s="8" t="s">
        <v>106</v>
      </c>
      <c r="G149" s="10" t="n">
        <v>55000</v>
      </c>
      <c r="H149" s="10" t="n">
        <f aca="false">+G149*19%</f>
        <v>10450</v>
      </c>
      <c r="I149" s="10" t="n">
        <f aca="false">+G149+H149</f>
        <v>65450</v>
      </c>
    </row>
    <row r="150" customFormat="false" ht="15" hidden="false" customHeight="true" outlineLevel="0" collapsed="false">
      <c r="A150" s="3" t="s">
        <v>177</v>
      </c>
      <c r="B150" s="8" t="s">
        <v>331</v>
      </c>
      <c r="C150" s="8" t="s">
        <v>182</v>
      </c>
      <c r="D150" s="8" t="s">
        <v>332</v>
      </c>
      <c r="E150" s="6"/>
      <c r="F150" s="8" t="s">
        <v>273</v>
      </c>
      <c r="G150" s="10" t="n">
        <v>60000</v>
      </c>
      <c r="H150" s="10" t="n">
        <f aca="false">+G150*19%</f>
        <v>11400</v>
      </c>
      <c r="I150" s="10" t="n">
        <f aca="false">+G150+H150</f>
        <v>71400</v>
      </c>
    </row>
    <row r="151" customFormat="false" ht="15" hidden="false" customHeight="true" outlineLevel="0" collapsed="false">
      <c r="A151" s="38" t="s">
        <v>128</v>
      </c>
      <c r="B151" s="8" t="s">
        <v>129</v>
      </c>
      <c r="C151" s="8" t="s">
        <v>130</v>
      </c>
      <c r="D151" s="23" t="n">
        <v>4232006220083</v>
      </c>
      <c r="E151" s="39"/>
      <c r="F151" s="8" t="s">
        <v>110</v>
      </c>
      <c r="G151" s="10" t="n">
        <v>60000</v>
      </c>
      <c r="H151" s="10" t="n">
        <f aca="false">+G151*19%</f>
        <v>11400</v>
      </c>
      <c r="I151" s="10" t="n">
        <f aca="false">+G151+H151</f>
        <v>71400</v>
      </c>
    </row>
    <row r="152" customFormat="false" ht="15" hidden="false" customHeight="true" outlineLevel="0" collapsed="false">
      <c r="A152" s="40" t="s">
        <v>282</v>
      </c>
      <c r="B152" s="41" t="s">
        <v>333</v>
      </c>
      <c r="C152" s="41" t="s">
        <v>268</v>
      </c>
      <c r="D152" s="41" t="n">
        <v>230700132</v>
      </c>
      <c r="E152" s="42"/>
      <c r="F152" s="41" t="s">
        <v>111</v>
      </c>
      <c r="G152" s="10" t="n">
        <v>65000</v>
      </c>
      <c r="H152" s="10" t="n">
        <f aca="false">+G152*19%</f>
        <v>12350</v>
      </c>
      <c r="I152" s="10" t="n">
        <f aca="false">+G152+H152</f>
        <v>77350</v>
      </c>
    </row>
    <row r="154" customFormat="false" ht="14.25" hidden="false" customHeight="false" outlineLevel="0" collapsed="false">
      <c r="F154" s="43" t="s">
        <v>334</v>
      </c>
      <c r="G154" s="44" t="n">
        <f aca="false">SUM(G2:G152)</f>
        <v>12875000</v>
      </c>
      <c r="H154" s="44" t="n">
        <f aca="false">SUM(H2:H152)</f>
        <v>2446250</v>
      </c>
      <c r="I154" s="44" t="n">
        <f aca="false">SUM(I2:I152)</f>
        <v>15321250</v>
      </c>
    </row>
    <row r="156" customFormat="false" ht="14.25" hidden="false" customHeight="false" outlineLevel="0" collapsed="false">
      <c r="A156" s="0" t="s">
        <v>335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2026-10-07T12:51:13Z</dcterms:created>
  <dc:creator>USUARIO</dc:creator>
  <dc:description/>
  <dc:language>en-US</dc:language>
  <cp:lastModifiedBy>USUARIO</cp:lastModifiedBy>
  <dcterms:modified xsi:type="dcterms:W3CDTF">2026-10-07T12:55:36Z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