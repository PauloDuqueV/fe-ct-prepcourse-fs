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Usuario:
FOTOS</t>
        </r>
      </text>
    </comment>
    <comment ref="A68" authorId="0">
      <text>
        <r>
          <rPr>
            <sz val="10"/>
            <rFont val="Arial"/>
            <family val="2"/>
          </rPr>
          <t xml:space="preserve">Usuario:
FOTO</t>
        </r>
      </text>
    </comment>
    <comment ref="A97" authorId="0">
      <text>
        <r>
          <rPr>
            <sz val="10"/>
            <rFont val="Arial"/>
            <family val="2"/>
          </rPr>
          <t xml:space="preserve">Usuario:
FOTO</t>
        </r>
      </text>
    </comment>
    <comment ref="G78" authorId="0">
      <text>
        <r>
          <rPr>
            <sz val="10"/>
            <rFont val="Arial"/>
            <family val="2"/>
          </rPr>
          <t xml:space="preserve">Usuario:
Mantenimiento correctivo</t>
        </r>
      </text>
    </comment>
    <comment ref="J3" authorId="0">
      <text>
        <r>
          <rPr>
            <sz val="10"/>
            <rFont val="Arial"/>
            <family val="2"/>
          </rPr>
          <t xml:space="preserve">Estimado: tomado como FONENDO ALPK2 ($60.000)</t>
        </r>
      </text>
    </comment>
    <comment ref="J4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25" authorId="0">
      <text>
        <r>
          <rPr>
            <sz val="10"/>
            <rFont val="Arial"/>
            <family val="2"/>
          </rPr>
          <t xml:space="preserve">La serie SN246BE0000445 corresponde en la base al AGITADOR DE MAZINNI DLAB ($60.000)</t>
        </r>
      </text>
    </comment>
    <comment ref="J36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57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58" authorId="0">
      <text>
        <r>
          <rPr>
            <sz val="10"/>
            <rFont val="Arial"/>
            <family val="2"/>
          </rPr>
          <t xml:space="preserve">Estimado: se tomó INCUBADORA LABORATORIO ($95.000)</t>
        </r>
      </text>
    </comment>
    <comment ref="J64" authorId="0">
      <text>
        <r>
          <rPr>
            <sz val="10"/>
            <rFont val="Arial"/>
            <family val="2"/>
          </rPr>
          <t xml:space="preserve">Estimado: se tomó LAMPARA CUELLO DE CISNE WELCH ALLYN de LABORATORIO ($95.000)</t>
        </r>
      </text>
    </comment>
    <comment ref="J65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66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77" authorId="0">
      <text>
        <r>
          <rPr>
            <sz val="10"/>
            <rFont val="Arial"/>
            <family val="2"/>
          </rPr>
          <t xml:space="preserve">Estimado: no existe NEVERA ELECTROLUX en la base; se usó el valor de neveras de COCINA (HACEB) $120.000</t>
        </r>
      </text>
    </comment>
    <comment ref="J84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85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86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87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138" authorId="0">
      <text>
        <r>
          <rPr>
            <sz val="10"/>
            <rFont val="Arial"/>
            <family val="2"/>
          </rPr>
          <t xml:space="preserve">Estimado: se tomó TERMOHIGROMETRO de CENTRAL DE RESIDUOS ($70.000)</t>
        </r>
      </text>
    </comment>
    <comment ref="J153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154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J155" authorId="0">
      <text>
        <r>
          <rPr>
            <sz val="10"/>
            <rFont val="Arial"/>
            <family val="2"/>
          </rPr>
          <t xml:space="preserve">Costo: COMPRESOR THOMAS de la base de costos</t>
        </r>
      </text>
    </comment>
    <comment ref="J156" authorId="0">
      <text>
        <r>
          <rPr>
            <sz val="10"/>
            <rFont val="Arial"/>
            <family val="2"/>
          </rPr>
          <t xml:space="preserve">Estimado: costo de TERMOMETRO en la base de costos</t>
        </r>
      </text>
    </comment>
    <comment ref="M3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M4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35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36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38" authorId="0">
      <text>
        <r>
          <rPr>
            <sz val="10"/>
            <rFont val="Arial"/>
            <family val="2"/>
          </rPr>
          <t xml:space="preserve">Estimado: No está en la cotización ESE; se usó CAVITRON D5 LED (hoja ODONTOLOGIA!39)</t>
        </r>
      </text>
    </comment>
    <comment ref="M48" authorId="0">
      <text>
        <r>
          <rPr>
            <sz val="10"/>
            <rFont val="Arial"/>
            <family val="2"/>
          </rPr>
          <t xml:space="preserve">Estimado: Se usó DOPPLER FETAL BIOCARE FM-200 (mismo modelo) (hoja TABLA!62)</t>
        </r>
      </text>
    </comment>
    <comment ref="M52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M53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M57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58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59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65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66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77" authorId="0">
      <text>
        <r>
          <rPr>
            <sz val="10"/>
            <rFont val="Arial"/>
            <family val="2"/>
          </rPr>
          <t xml:space="preserve">Estimado: No está en la cotización ESE; se usó NEVERA HACEB de COCINA (hoja CADENA DE FRIO!13)</t>
        </r>
      </text>
    </comment>
    <comment ref="M78" authorId="0">
      <text>
        <r>
          <rPr>
            <sz val="10"/>
            <rFont val="Arial"/>
            <family val="2"/>
          </rPr>
          <t xml:space="preserve">Estimado: Se usó NEVERA BIOMEDICAL HYC-118A (mismo modelo) (hoja CADENA DE FRIO!9)</t>
        </r>
      </text>
    </comment>
    <comment ref="M83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84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85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86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87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89" authorId="0">
      <text>
        <r>
          <rPr>
            <sz val="10"/>
            <rFont val="Arial"/>
            <family val="2"/>
          </rPr>
          <t xml:space="preserve">Estimado: Se usó PULSOXIMETRO LIFEN LT-F20 de ADICIONADOS (hoja ADICIONADO!12)</t>
        </r>
      </text>
    </comment>
    <comment ref="M92" authorId="0">
      <text>
        <r>
          <rPr>
            <sz val="10"/>
            <rFont val="Arial"/>
            <family val="2"/>
          </rPr>
          <t xml:space="preserve">Estimado: Se usó PULSOXIMETRO CHOICEMMED (hoja TABLA!55)</t>
        </r>
      </text>
    </comment>
    <comment ref="M99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M100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M101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M117" authorId="0">
      <text>
        <r>
          <rPr>
            <sz val="10"/>
            <rFont val="Arial"/>
            <family val="2"/>
          </rPr>
          <t xml:space="preserve">Estimado: No está en la cotización ESE; se usó TENSIOMETRO PORTATIL de consultorio (hoja TABLA!38)</t>
        </r>
      </text>
    </comment>
    <comment ref="M130" authorId="0">
      <text>
        <r>
          <rPr>
            <sz val="10"/>
            <rFont val="Arial"/>
            <family val="2"/>
          </rPr>
          <t xml:space="preserve">Estimado: Se usó TERMOHIGROMETRO TH-02 de FARMACIA (hoja TABLA!52)</t>
        </r>
      </text>
    </comment>
    <comment ref="M132" authorId="0">
      <text>
        <r>
          <rPr>
            <sz val="10"/>
            <rFont val="Arial"/>
            <family val="2"/>
          </rPr>
          <t xml:space="preserve">Estimado: Serie no encontrada; se usó TERMOHIGROMETRO HTC-2 (hoja TABLA!60)</t>
        </r>
      </text>
    </comment>
    <comment ref="M138" authorId="0">
      <text>
        <r>
          <rPr>
            <sz val="10"/>
            <rFont val="Arial"/>
            <family val="2"/>
          </rPr>
          <t xml:space="preserve">Estimado: Se usó TERMOHIGROMETRO de CENTRAL DE RESIDUOS (hoja TABLA!83)</t>
        </r>
      </text>
    </comment>
    <comment ref="M142" authorId="0">
      <text>
        <r>
          <rPr>
            <sz val="10"/>
            <rFont val="Arial"/>
            <family val="2"/>
          </rPr>
          <t xml:space="preserve">Estimado: Serie no encontrada; se usó TERMOMETRO INFRAROJO BERRCOM (hoja EQUIPO EBAS!28)</t>
        </r>
      </text>
    </comment>
    <comment ref="M153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154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M155" authorId="0">
      <text>
        <r>
          <rPr>
            <sz val="10"/>
            <rFont val="Arial"/>
            <family val="2"/>
          </rPr>
          <t xml:space="preserve">Venta: COMPRESOR THOMAS de la cotización ESE (hoja ODONTOLOGIA)</t>
        </r>
      </text>
    </comment>
    <comment ref="M156" authorId="0">
      <text>
        <r>
          <rPr>
            <sz val="10"/>
            <rFont val="Arial"/>
            <family val="2"/>
          </rPr>
          <t xml:space="preserve">Estimado: TERMÓMETRO de la cotización ESE (hoja TABLA)</t>
        </r>
      </text>
    </comment>
  </commentList>
</comments>
</file>

<file path=xl/sharedStrings.xml><?xml version="1.0" encoding="utf-8"?>
<sst xmlns="http://schemas.openxmlformats.org/spreadsheetml/2006/main" count="665" uniqueCount="344">
  <si>
    <t xml:space="preserve">EQUIPO</t>
  </si>
  <si>
    <t xml:space="preserve">PLACA</t>
  </si>
  <si>
    <t xml:space="preserve">MARCA</t>
  </si>
  <si>
    <t xml:space="preserve">MODELO</t>
  </si>
  <si>
    <t xml:space="preserve">SERIE</t>
  </si>
  <si>
    <t xml:space="preserve">UBICACIÓN</t>
  </si>
  <si>
    <t xml:space="preserve">VALOR</t>
  </si>
  <si>
    <t xml:space="preserve">IVA</t>
  </si>
  <si>
    <t xml:space="preserve">TOTAL</t>
  </si>
  <si>
    <t xml:space="preserve">VALOR COSTO 1</t>
  </si>
  <si>
    <t xml:space="preserve">IVA 1</t>
  </si>
  <si>
    <t xml:space="preserve">TOTAL 1</t>
  </si>
  <si>
    <t xml:space="preserve">VALOR VENTA 2</t>
  </si>
  <si>
    <t xml:space="preserve">IVA VENTA 2</t>
  </si>
  <si>
    <t xml:space="preserve">TOTAL VENTA 2</t>
  </si>
  <si>
    <t xml:space="preserve"> CENTRIFUGA ELECTRICA PARA 8 TUBOS</t>
  </si>
  <si>
    <t xml:space="preserve">INDULAB</t>
  </si>
  <si>
    <t xml:space="preserve">2014DM-0012039</t>
  </si>
  <si>
    <t xml:space="preserve">LABORATORIO</t>
  </si>
  <si>
    <t xml:space="preserve"> ESTETOSCOPIO</t>
  </si>
  <si>
    <t xml:space="preserve">ALRKE</t>
  </si>
  <si>
    <t xml:space="preserve">SN25-00227</t>
  </si>
  <si>
    <t xml:space="preserve"> FOTOTERAPIA DE BILIRRUBINA NEONATAL</t>
  </si>
  <si>
    <t xml:space="preserve">DAVI</t>
  </si>
  <si>
    <t xml:space="preserve">HKN-93-HD-ML1</t>
  </si>
  <si>
    <t xml:space="preserve">SN: A24BB0006033</t>
  </si>
  <si>
    <t xml:space="preserve">AIRE ACONDICIONADO</t>
  </si>
  <si>
    <t xml:space="preserve">MMIRAGE</t>
  </si>
  <si>
    <t xml:space="preserve">EMF120E</t>
  </si>
  <si>
    <t xml:space="preserve">EMF12037062000278</t>
  </si>
  <si>
    <t xml:space="preserve">ODONTOLOGIA</t>
  </si>
  <si>
    <t xml:space="preserve">ELECTROLUX</t>
  </si>
  <si>
    <t xml:space="preserve">929090378 61313466</t>
  </si>
  <si>
    <t xml:space="preserve">SERVICIO FARMACEUTICO</t>
  </si>
  <si>
    <t xml:space="preserve">AIRE ACONDICONADO </t>
  </si>
  <si>
    <t xml:space="preserve">CIAC</t>
  </si>
  <si>
    <t xml:space="preserve">VACUNACION</t>
  </si>
  <si>
    <t xml:space="preserve">CENAGE SAS</t>
  </si>
  <si>
    <t xml:space="preserve">EMF091E</t>
  </si>
  <si>
    <t xml:space="preserve">EMF091E7072000293</t>
  </si>
  <si>
    <t xml:space="preserve">ANALIZADOR AUTOMÁTICO DE QUIMICA A -15 </t>
  </si>
  <si>
    <t xml:space="preserve">Biosystems</t>
  </si>
  <si>
    <t xml:space="preserve">A15</t>
  </si>
  <si>
    <t xml:space="preserve">2016DM-0014508</t>
  </si>
  <si>
    <t xml:space="preserve">ANALIZADOR DE TIRILLAS DE ORINA</t>
  </si>
  <si>
    <t xml:space="preserve">DIRUI</t>
  </si>
  <si>
    <t xml:space="preserve">H-500</t>
  </si>
  <si>
    <t xml:space="preserve">2400500H0660</t>
  </si>
  <si>
    <t xml:space="preserve">2022DM-0025774</t>
  </si>
  <si>
    <t xml:space="preserve">ASPIRADOR</t>
  </si>
  <si>
    <t xml:space="preserve">JMAG</t>
  </si>
  <si>
    <t xml:space="preserve">SXT5A</t>
  </si>
  <si>
    <t xml:space="preserve">L9-24- 288</t>
  </si>
  <si>
    <t xml:space="preserve">SALA DE PARTO</t>
  </si>
  <si>
    <t xml:space="preserve"> </t>
  </si>
  <si>
    <t xml:space="preserve">AMBULANCIA OKL 189</t>
  </si>
  <si>
    <t xml:space="preserve">STAGE</t>
  </si>
  <si>
    <t xml:space="preserve">H003-C</t>
  </si>
  <si>
    <t xml:space="preserve">MO2505140210189</t>
  </si>
  <si>
    <t xml:space="preserve">AMBULANCIA NSR 007</t>
  </si>
  <si>
    <t xml:space="preserve">JMAH</t>
  </si>
  <si>
    <t xml:space="preserve">SXT-5A </t>
  </si>
  <si>
    <t xml:space="preserve">L9*24289</t>
  </si>
  <si>
    <t xml:space="preserve">CARRO DE REANIMACIÓN</t>
  </si>
  <si>
    <t xml:space="preserve">L9-24- 222</t>
  </si>
  <si>
    <t xml:space="preserve">ASPIRADOR </t>
  </si>
  <si>
    <t xml:space="preserve">KONGSUNG</t>
  </si>
  <si>
    <t xml:space="preserve">9E-B</t>
  </si>
  <si>
    <t xml:space="preserve">Ma2204010030</t>
  </si>
  <si>
    <t xml:space="preserve">AMBULANCIA ODU 086</t>
  </si>
  <si>
    <t xml:space="preserve">Ambulancia OKL 189</t>
  </si>
  <si>
    <t xml:space="preserve">AUTOCLAVE</t>
  </si>
  <si>
    <t xml:space="preserve">AUTOMAT</t>
  </si>
  <si>
    <t xml:space="preserve">25-A12-010</t>
  </si>
  <si>
    <t xml:space="preserve"> 2018DM-0018563</t>
  </si>
  <si>
    <t xml:space="preserve">AUTOCLAVE - HORIZONTAL</t>
  </si>
  <si>
    <t xml:space="preserve">EASTERN</t>
  </si>
  <si>
    <t xml:space="preserve">EA-620</t>
  </si>
  <si>
    <t xml:space="preserve">62OT8306-026</t>
  </si>
  <si>
    <t xml:space="preserve">ESTERILIZACION</t>
  </si>
  <si>
    <t xml:space="preserve">BAÑO MARIA</t>
  </si>
  <si>
    <t xml:space="preserve">MEMMERT</t>
  </si>
  <si>
    <t xml:space="preserve">BASCULA </t>
  </si>
  <si>
    <t xml:space="preserve">VALCRI</t>
  </si>
  <si>
    <t xml:space="preserve">KY01131</t>
  </si>
  <si>
    <t xml:space="preserve">CONSULTORIO 2</t>
  </si>
  <si>
    <t xml:space="preserve">CONSULTORIO 3</t>
  </si>
  <si>
    <t xml:space="preserve">URGENCIAS</t>
  </si>
  <si>
    <t xml:space="preserve">CONSULTORIO 5</t>
  </si>
  <si>
    <t xml:space="preserve">BÁSCULA DIGITAL</t>
  </si>
  <si>
    <t xml:space="preserve">Dlab</t>
  </si>
  <si>
    <t xml:space="preserve">SK - 0180-S</t>
  </si>
  <si>
    <t xml:space="preserve">SN246BE0000445</t>
  </si>
  <si>
    <t xml:space="preserve">BASCULA DIGITAL ADULTO</t>
  </si>
  <si>
    <t xml:space="preserve">BADECOL</t>
  </si>
  <si>
    <t xml:space="preserve">EB7010</t>
  </si>
  <si>
    <t xml:space="preserve">EXTRAMURAL - EBS</t>
  </si>
  <si>
    <t xml:space="preserve">BOMBA DE INFUSION</t>
  </si>
  <si>
    <t xml:space="preserve">HAWKMED</t>
  </si>
  <si>
    <t xml:space="preserve">HAWL-i1</t>
  </si>
  <si>
    <t xml:space="preserve">04008448</t>
  </si>
  <si>
    <t xml:space="preserve">MEDCAPTAIN</t>
  </si>
  <si>
    <t xml:space="preserve">MP-60</t>
  </si>
  <si>
    <t xml:space="preserve">HOSPITALIZACION</t>
  </si>
  <si>
    <t xml:space="preserve">CAMILLA CONSULTORIO CON ESTRIBOS</t>
  </si>
  <si>
    <t xml:space="preserve">MUEBLES HOSPITALARIOS</t>
  </si>
  <si>
    <t xml:space="preserve">MB-16-4</t>
  </si>
  <si>
    <t xml:space="preserve">CC-9545</t>
  </si>
  <si>
    <t xml:space="preserve">2024DM-0012181-R1</t>
  </si>
  <si>
    <t xml:space="preserve">CARRO REANIMACIÓN</t>
  </si>
  <si>
    <t xml:space="preserve">CAVITRON</t>
  </si>
  <si>
    <t xml:space="preserve">WOODPECKER DTE</t>
  </si>
  <si>
    <t xml:space="preserve">D5 LED</t>
  </si>
  <si>
    <t xml:space="preserve">S2380065D5L</t>
  </si>
  <si>
    <t xml:space="preserve">2018DM-0018677</t>
  </si>
  <si>
    <t xml:space="preserve">HIGIENE ORAL</t>
  </si>
  <si>
    <t xml:space="preserve">DTE</t>
  </si>
  <si>
    <t xml:space="preserve">D3 LED</t>
  </si>
  <si>
    <t xml:space="preserve">2180004D3L</t>
  </si>
  <si>
    <t xml:space="preserve">CENTRIFUGA ELECTRICA PARA 12 TUBOS</t>
  </si>
  <si>
    <t xml:space="preserve">C-04</t>
  </si>
  <si>
    <t xml:space="preserve">CONGELADOR HORIZONTAL</t>
  </si>
  <si>
    <t xml:space="preserve">VESTFROST</t>
  </si>
  <si>
    <t xml:space="preserve">VLS350</t>
  </si>
  <si>
    <t xml:space="preserve">MELNG BIOMEDICAL</t>
  </si>
  <si>
    <t xml:space="preserve">DW-FL90</t>
  </si>
  <si>
    <t xml:space="preserve">KALLEY</t>
  </si>
  <si>
    <t xml:space="preserve">K-CH99L2</t>
  </si>
  <si>
    <t xml:space="preserve">K2486201</t>
  </si>
  <si>
    <t xml:space="preserve">CUARTO RESIDUOS</t>
  </si>
  <si>
    <t xml:space="preserve">DESFIBRILADOR</t>
  </si>
  <si>
    <t xml:space="preserve">MINDRAY</t>
  </si>
  <si>
    <t xml:space="preserve">BENEHEART C1A</t>
  </si>
  <si>
    <t xml:space="preserve">AF3-52053666</t>
  </si>
  <si>
    <t xml:space="preserve">DESFIBRILADOR EXTERNO AUTOMATICO (DEA)</t>
  </si>
  <si>
    <t xml:space="preserve">CU MEDICAL SYSTEMS</t>
  </si>
  <si>
    <t xml:space="preserve">CU-5P1 AUTO</t>
  </si>
  <si>
    <t xml:space="preserve">61W05B01026</t>
  </si>
  <si>
    <t xml:space="preserve">AMBULANCIA #2</t>
  </si>
  <si>
    <t xml:space="preserve">DESFRIBILADOR</t>
  </si>
  <si>
    <t xml:space="preserve">BENEHEART D30</t>
  </si>
  <si>
    <t xml:space="preserve">FP5-49011475</t>
  </si>
  <si>
    <t xml:space="preserve">URGENCIAS/CUARTO REANIMACIÓN</t>
  </si>
  <si>
    <t xml:space="preserve">DOPPLER FETAL</t>
  </si>
  <si>
    <t xml:space="preserve">EDAN</t>
  </si>
  <si>
    <t xml:space="preserve">SONOTRAX BASIC A</t>
  </si>
  <si>
    <t xml:space="preserve">304133-M14701200056</t>
  </si>
  <si>
    <t xml:space="preserve">CONSULTORIO 1</t>
  </si>
  <si>
    <t xml:space="preserve">BIOCARE</t>
  </si>
  <si>
    <t xml:space="preserve">FM-200</t>
  </si>
  <si>
    <t xml:space="preserve">C1213060377</t>
  </si>
  <si>
    <t xml:space="preserve">CS 1</t>
  </si>
  <si>
    <t xml:space="preserve">IOCARE</t>
  </si>
  <si>
    <t xml:space="preserve">C123060381</t>
  </si>
  <si>
    <t xml:space="preserve">BRIGADA</t>
  </si>
  <si>
    <t xml:space="preserve">ELECTROCARDIÓGRAFO</t>
  </si>
  <si>
    <t xml:space="preserve">BENEHEART R3</t>
  </si>
  <si>
    <t xml:space="preserve">FK-4A041627</t>
  </si>
  <si>
    <t xml:space="preserve">EQUIPO DE RX PERIAPICAL </t>
  </si>
  <si>
    <t xml:space="preserve">Elity-70</t>
  </si>
  <si>
    <t xml:space="preserve">2019EBC-0003907-R1</t>
  </si>
  <si>
    <t xml:space="preserve">EQUIPO HEMATOLOGIA 3 PARTES </t>
  </si>
  <si>
    <t xml:space="preserve">DIATRON</t>
  </si>
  <si>
    <t xml:space="preserve">A3N-1</t>
  </si>
  <si>
    <t xml:space="preserve">2022DM-0026114</t>
  </si>
  <si>
    <t xml:space="preserve">ESTETOSCOPIO</t>
  </si>
  <si>
    <t xml:space="preserve">LORD</t>
  </si>
  <si>
    <t xml:space="preserve">WELCH ALLYN</t>
  </si>
  <si>
    <t xml:space="preserve">ALPK2</t>
  </si>
  <si>
    <t xml:space="preserve">FT-805</t>
  </si>
  <si>
    <t xml:space="preserve">FONENDO ADULTO</t>
  </si>
  <si>
    <t xml:space="preserve">FT-801</t>
  </si>
  <si>
    <t xml:space="preserve">LITTMANN</t>
  </si>
  <si>
    <t xml:space="preserve">2450 NEGRO</t>
  </si>
  <si>
    <t xml:space="preserve">GLUCOMETRO</t>
  </si>
  <si>
    <t xml:space="preserve">ROCHE / ACCU-CHEK</t>
  </si>
  <si>
    <t xml:space="preserve">HORNO TERMOCULTIVO DIGITAL</t>
  </si>
  <si>
    <t xml:space="preserve">BRIGADAS</t>
  </si>
  <si>
    <t xml:space="preserve">INCUBADORA LABORATORIO</t>
  </si>
  <si>
    <t xml:space="preserve">KIT FONENDOSCOPIO/TENSIÓMETRO</t>
  </si>
  <si>
    <t xml:space="preserve">GMD</t>
  </si>
  <si>
    <t xml:space="preserve">TENSIÓMETRO: GMD20</t>
  </si>
  <si>
    <t xml:space="preserve">TENSIÓMETRO: J2323165</t>
  </si>
  <si>
    <t xml:space="preserve">LAMPARA DE FOTOCURADO</t>
  </si>
  <si>
    <t xml:space="preserve">WOODPECKER</t>
  </si>
  <si>
    <t xml:space="preserve">B-CURE</t>
  </si>
  <si>
    <t xml:space="preserve">L2450609BC</t>
  </si>
  <si>
    <t xml:space="preserve">2018DM-0018582</t>
  </si>
  <si>
    <t xml:space="preserve">LAMPARA DE FOTOCURADO LED  </t>
  </si>
  <si>
    <t xml:space="preserve">DTE  LIGHT</t>
  </si>
  <si>
    <t xml:space="preserve">DJ-0500100-A5</t>
  </si>
  <si>
    <t xml:space="preserve">LAMPARA DE FOTOCURADO LED FROGENT (LED-F)</t>
  </si>
  <si>
    <t xml:space="preserve">LED</t>
  </si>
  <si>
    <t xml:space="preserve">L2180054F</t>
  </si>
  <si>
    <t xml:space="preserve">LÁMPARA DE PROCEDIMIENTOS LED</t>
  </si>
  <si>
    <t xml:space="preserve">4467X</t>
  </si>
  <si>
    <t xml:space="preserve">2023DM-0009826-R1</t>
  </si>
  <si>
    <t xml:space="preserve">LARINGOSCOPIO</t>
  </si>
  <si>
    <t xml:space="preserve">Greenline</t>
  </si>
  <si>
    <t xml:space="preserve">LARINGOSCOPIO Y VALVAS</t>
  </si>
  <si>
    <t xml:space="preserve">Riester</t>
  </si>
  <si>
    <t xml:space="preserve">LOCALIZADOR DE ÁPICES</t>
  </si>
  <si>
    <t xml:space="preserve">MINIPEX</t>
  </si>
  <si>
    <t xml:space="preserve">MICROSCOPIO</t>
  </si>
  <si>
    <t xml:space="preserve">OLYMPUS</t>
  </si>
  <si>
    <t xml:space="preserve">MONITOR DE SIGNOS VITALES</t>
  </si>
  <si>
    <t xml:space="preserve">EPM10</t>
  </si>
  <si>
    <t xml:space="preserve">AC7-04009402</t>
  </si>
  <si>
    <t xml:space="preserve">UMEC 10</t>
  </si>
  <si>
    <t xml:space="preserve">KN-29153331</t>
  </si>
  <si>
    <t xml:space="preserve">AC7-04009403</t>
  </si>
  <si>
    <t xml:space="preserve">ARCHIVOS</t>
  </si>
  <si>
    <t xml:space="preserve">KN-27149093</t>
  </si>
  <si>
    <t xml:space="preserve">HEAL FORCE </t>
  </si>
  <si>
    <t xml:space="preserve">CLASSIC-90</t>
  </si>
  <si>
    <t xml:space="preserve">J0100SG01609</t>
  </si>
  <si>
    <t xml:space="preserve">MONITOR FETAL</t>
  </si>
  <si>
    <t xml:space="preserve">F3</t>
  </si>
  <si>
    <t xml:space="preserve">560034-M23301350020</t>
  </si>
  <si>
    <t xml:space="preserve">URGENCIAS/SALA DE OBSERVACIÓN GINECOOBSTETRICIA</t>
  </si>
  <si>
    <t xml:space="preserve">NEBULIZADOR</t>
  </si>
  <si>
    <t xml:space="preserve">GMD Nube3000</t>
  </si>
  <si>
    <t xml:space="preserve">GMRN457-12</t>
  </si>
  <si>
    <t xml:space="preserve">NEVERA</t>
  </si>
  <si>
    <t xml:space="preserve">EFC153NPZW</t>
  </si>
  <si>
    <t xml:space="preserve">COCINA</t>
  </si>
  <si>
    <t xml:space="preserve">HAIER</t>
  </si>
  <si>
    <t xml:space="preserve">HYC-118A</t>
  </si>
  <si>
    <t xml:space="preserve">BE069 7E1T0 0QEQC D0003</t>
  </si>
  <si>
    <t xml:space="preserve">FARMACIA</t>
  </si>
  <si>
    <t xml:space="preserve">HACEB</t>
  </si>
  <si>
    <t xml:space="preserve">AU120XY1</t>
  </si>
  <si>
    <t xml:space="preserve">240SEME</t>
  </si>
  <si>
    <t xml:space="preserve">EMY70C</t>
  </si>
  <si>
    <t xml:space="preserve">AE-1336A</t>
  </si>
  <si>
    <t xml:space="preserve">611608H94</t>
  </si>
  <si>
    <t xml:space="preserve">BIOMEDICAL</t>
  </si>
  <si>
    <t xml:space="preserve">BE0697E1T0QEQCD0005</t>
  </si>
  <si>
    <t xml:space="preserve">OFTALMOSCOPIO-OTOSCOPIO </t>
  </si>
  <si>
    <t xml:space="preserve">LENZ</t>
  </si>
  <si>
    <t xml:space="preserve">CONSULTORIO</t>
  </si>
  <si>
    <t xml:space="preserve">OSCILADOR</t>
  </si>
  <si>
    <t xml:space="preserve">ZJZD-III</t>
  </si>
  <si>
    <t xml:space="preserve">OTOSCOPIO </t>
  </si>
  <si>
    <t xml:space="preserve">N.D</t>
  </si>
  <si>
    <t xml:space="preserve">OXIMETRO DE PULSO</t>
  </si>
  <si>
    <t xml:space="preserve">H100B</t>
  </si>
  <si>
    <t xml:space="preserve">360101-M24612400023</t>
  </si>
  <si>
    <t xml:space="preserve">LIFEN</t>
  </si>
  <si>
    <t xml:space="preserve">LT-F20</t>
  </si>
  <si>
    <t xml:space="preserve">H100B10310712903</t>
  </si>
  <si>
    <t xml:space="preserve">MD300C19</t>
  </si>
  <si>
    <t xml:space="preserve">OXÍMETRO DE PULSO</t>
  </si>
  <si>
    <t xml:space="preserve">choiceMMed</t>
  </si>
  <si>
    <t xml:space="preserve">MD300C29</t>
  </si>
  <si>
    <t xml:space="preserve">PESA BEBE</t>
  </si>
  <si>
    <t xml:space="preserve">ACS 20B- YE</t>
  </si>
  <si>
    <t xml:space="preserve">4232006220075</t>
  </si>
  <si>
    <t xml:space="preserve">SALA DE PARTOS</t>
  </si>
  <si>
    <t xml:space="preserve">PESA BEBE ELECTRÓNICA</t>
  </si>
  <si>
    <t xml:space="preserve">SECA</t>
  </si>
  <si>
    <t xml:space="preserve">ENFERMERÍA / PYP</t>
  </si>
  <si>
    <t xml:space="preserve">PIEZA SCALER D3 LET DTE </t>
  </si>
  <si>
    <t xml:space="preserve">S2180004D3L</t>
  </si>
  <si>
    <t xml:space="preserve">PIPETA</t>
  </si>
  <si>
    <t xml:space="preserve">LK678444</t>
  </si>
  <si>
    <t xml:space="preserve">LK105547</t>
  </si>
  <si>
    <t xml:space="preserve">HUMAPETTE</t>
  </si>
  <si>
    <t xml:space="preserve">AR11445</t>
  </si>
  <si>
    <t xml:space="preserve">PIPETTE</t>
  </si>
  <si>
    <t xml:space="preserve">PULSOXIMETRO DE DEDO</t>
  </si>
  <si>
    <t xml:space="preserve">XB11300</t>
  </si>
  <si>
    <t xml:space="preserve">REGULADOR</t>
  </si>
  <si>
    <t xml:space="preserve">IMETAN</t>
  </si>
  <si>
    <t xml:space="preserve">OKL 189</t>
  </si>
  <si>
    <t xml:space="preserve">ASSIST</t>
  </si>
  <si>
    <t xml:space="preserve">VST-AM2</t>
  </si>
  <si>
    <t xml:space="preserve">20211100142</t>
  </si>
  <si>
    <t xml:space="preserve">GENTEC</t>
  </si>
  <si>
    <t xml:space="preserve">284-MA</t>
  </si>
  <si>
    <t xml:space="preserve">TENSIOMETRO ADULTO </t>
  </si>
  <si>
    <t xml:space="preserve">DM</t>
  </si>
  <si>
    <t xml:space="preserve">HS-20C </t>
  </si>
  <si>
    <t xml:space="preserve">TENSIOMETRO DE PARED</t>
  </si>
  <si>
    <t xml:space="preserve">TENSIÓMETRO DE PARED</t>
  </si>
  <si>
    <t xml:space="preserve">RIESTER</t>
  </si>
  <si>
    <t xml:space="preserve">BIGBEN ROUND</t>
  </si>
  <si>
    <t xml:space="preserve">TENSIOMETRO PEDIATRICO</t>
  </si>
  <si>
    <t xml:space="preserve">SPHYGMOMANOMETER</t>
  </si>
  <si>
    <t xml:space="preserve">HS-20C</t>
  </si>
  <si>
    <t xml:space="preserve">Ambulancia ODU 086</t>
  </si>
  <si>
    <t xml:space="preserve">TENSIÓMETRO PEDIÁTRICO</t>
  </si>
  <si>
    <t xml:space="preserve">HS.20C</t>
  </si>
  <si>
    <t xml:space="preserve">25010957</t>
  </si>
  <si>
    <t xml:space="preserve">HONSUN</t>
  </si>
  <si>
    <t xml:space="preserve">TENSIOMETRO PORTATIL</t>
  </si>
  <si>
    <t xml:space="preserve">N/A</t>
  </si>
  <si>
    <t xml:space="preserve">23-00327</t>
  </si>
  <si>
    <t xml:space="preserve">AMBULANCIA OKL189</t>
  </si>
  <si>
    <t xml:space="preserve">DS44</t>
  </si>
  <si>
    <t xml:space="preserve">211016132538</t>
  </si>
  <si>
    <t xml:space="preserve">CONSULTORIO 4</t>
  </si>
  <si>
    <t xml:space="preserve">479199</t>
  </si>
  <si>
    <t xml:space="preserve">CONSULTA EXTERNA</t>
  </si>
  <si>
    <t xml:space="preserve">TERMOHIGROMETRO</t>
  </si>
  <si>
    <t xml:space="preserve">KTJ</t>
  </si>
  <si>
    <t xml:space="preserve">TA318</t>
  </si>
  <si>
    <t xml:space="preserve">HTC</t>
  </si>
  <si>
    <t xml:space="preserve">HTC-2</t>
  </si>
  <si>
    <t xml:space="preserve">ODONTOLOGÍA</t>
  </si>
  <si>
    <t xml:space="preserve">THC</t>
  </si>
  <si>
    <t xml:space="preserve">TH-02</t>
  </si>
  <si>
    <t xml:space="preserve">JH2060</t>
  </si>
  <si>
    <t xml:space="preserve">BIOTELECTRONICA</t>
  </si>
  <si>
    <t xml:space="preserve">7027 - LOTE: 220730</t>
  </si>
  <si>
    <t xml:space="preserve">THC02</t>
  </si>
  <si>
    <t xml:space="preserve">VACUNACIÓN</t>
  </si>
  <si>
    <t xml:space="preserve">HT-02</t>
  </si>
  <si>
    <t xml:space="preserve">ZONA DE DESECHOS</t>
  </si>
  <si>
    <t xml:space="preserve">TERMOHIGROMETRO DIGITAL CALIBRADO</t>
  </si>
  <si>
    <t xml:space="preserve">biotelectrocnica</t>
  </si>
  <si>
    <t xml:space="preserve">TM - 01</t>
  </si>
  <si>
    <t xml:space="preserve">TERMOMETRO</t>
  </si>
  <si>
    <t xml:space="preserve">PERSON</t>
  </si>
  <si>
    <t xml:space="preserve">XL-F02</t>
  </si>
  <si>
    <t xml:space="preserve">SN:XLB09695</t>
  </si>
  <si>
    <t xml:space="preserve">SN:XLB09682</t>
  </si>
  <si>
    <t xml:space="preserve">TERMOMETRO INFRAROJO</t>
  </si>
  <si>
    <t xml:space="preserve">BERRC0M</t>
  </si>
  <si>
    <t xml:space="preserve">JXB-178</t>
  </si>
  <si>
    <t xml:space="preserve">M02200508061</t>
  </si>
  <si>
    <t xml:space="preserve">M05200573678</t>
  </si>
  <si>
    <t xml:space="preserve">M05200573683</t>
  </si>
  <si>
    <t xml:space="preserve">M03200517058</t>
  </si>
  <si>
    <t xml:space="preserve">UNIDAD ODONTÓLOGICA ELECTRÓNICA </t>
  </si>
  <si>
    <t xml:space="preserve">GAD Dental</t>
  </si>
  <si>
    <t xml:space="preserve">Full Aries Simplex 1500 Nacional</t>
  </si>
  <si>
    <t xml:space="preserve">UNIDAD ODONTÓLOGICA PORTATIL</t>
  </si>
  <si>
    <t xml:space="preserve">VALVAS LARINGOSCOPIO</t>
  </si>
  <si>
    <t xml:space="preserve">BASTER</t>
  </si>
  <si>
    <t xml:space="preserve">COMPRESOR </t>
  </si>
  <si>
    <t xml:space="preserve">Thomas</t>
  </si>
  <si>
    <t xml:space="preserve">VIÁTICOS MANTENIMIENTO: 2 INGENIEROS – 3 DÍAS</t>
  </si>
  <si>
    <t xml:space="preserve">Columnas J-L: costo del proveedor (base de datos de costos). Columnas M-O: precio de venta final (cotización ESE al hospital). Naranja: valor estimado por equipo similar (ver comentario). Amarillo: falta el valor. Viáticos (fila 157) sin costo/venta asignados.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</si>
</sst>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.00_-;\-* #,##0.00_-;_-* \-??_-;_-@_-"/>
    <numFmt numFmtId="167" formatCode="\$#,##0"/>
    <numFmt numFmtId="168" formatCode="0.00"/>
    <numFmt numFmtId="169" formatCode="0"/>
    <numFmt numFmtId="170" formatCode="@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D5B4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2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1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8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2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2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Normal 2" xfId="21"/>
    <cellStyle name="Normal 2 2 2" xfId="22"/>
    <cellStyle name="Normal 2 3 2" xfId="23"/>
    <cellStyle name="Normal 2 4" xfId="24"/>
    <cellStyle name="Normal 3 2 2" xfId="25"/>
    <cellStyle name="Normal 3 3" xfId="26"/>
    <cellStyle name="Normal 4" xfId="27"/>
    <cellStyle name="Normal 6 2" xfId="28"/>
    <cellStyle name="Normal 7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0.53125" defaultRowHeight="14.25" zeroHeight="false" outlineLevelRow="0" outlineLevelCol="0"/>
  <cols>
    <col collapsed="false" customWidth="true" hidden="false" outlineLevel="0" max="1" min="1" style="0" width="42.22"/>
    <col collapsed="false" customWidth="true" hidden="false" outlineLevel="0" max="7" min="7" style="0" width="13"/>
    <col collapsed="false" customWidth="true" hidden="false" outlineLevel="0" max="15" min="10" style="0" width="1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4.25" hidden="false" customHeight="false" outlineLevel="0" collapsed="false">
      <c r="A2" s="4" t="s">
        <v>15</v>
      </c>
      <c r="B2" s="5" t="s">
        <v>16</v>
      </c>
      <c r="C2" s="5"/>
      <c r="D2" s="5" t="n">
        <v>16569</v>
      </c>
      <c r="E2" s="5" t="s">
        <v>17</v>
      </c>
      <c r="F2" s="5" t="s">
        <v>18</v>
      </c>
      <c r="G2" s="6" t="n">
        <v>80000</v>
      </c>
      <c r="H2" s="6" t="n">
        <f aca="false">+G2*19%</f>
        <v>15200</v>
      </c>
      <c r="I2" s="6" t="n">
        <f aca="false">+G2+H2</f>
        <v>95200</v>
      </c>
      <c r="J2" s="7" t="n">
        <v>80000</v>
      </c>
      <c r="K2" s="7" t="n">
        <f aca="false">+J2*19%</f>
        <v>15200</v>
      </c>
      <c r="L2" s="7" t="n">
        <f aca="false">+J2+K2</f>
        <v>95200</v>
      </c>
      <c r="M2" s="7" t="n">
        <v>146666.666666667</v>
      </c>
      <c r="N2" s="7" t="n">
        <f aca="false">+M2*19%</f>
        <v>27866.6666666667</v>
      </c>
      <c r="O2" s="7" t="n">
        <f aca="false">+M2+N2</f>
        <v>174533.333333334</v>
      </c>
    </row>
    <row r="3" customFormat="false" ht="15.65" hidden="false" customHeight="false" outlineLevel="0" collapsed="false">
      <c r="A3" s="4" t="s">
        <v>19</v>
      </c>
      <c r="B3" s="8" t="s">
        <v>20</v>
      </c>
      <c r="C3" s="9"/>
      <c r="D3" s="9" t="s">
        <v>21</v>
      </c>
      <c r="E3" s="10"/>
      <c r="F3" s="9"/>
      <c r="G3" s="6" t="n">
        <v>70000</v>
      </c>
      <c r="H3" s="6" t="n">
        <f aca="false">+G3*19%</f>
        <v>13300</v>
      </c>
      <c r="I3" s="6" t="n">
        <f aca="false">+G3+H3</f>
        <v>83300</v>
      </c>
      <c r="J3" s="11" t="n">
        <v>60000</v>
      </c>
      <c r="K3" s="7" t="n">
        <f aca="false">+J3*19%</f>
        <v>11400</v>
      </c>
      <c r="L3" s="7" t="n">
        <f aca="false">+J3+K3</f>
        <v>71400</v>
      </c>
      <c r="M3" s="11" t="n">
        <v>85714</v>
      </c>
      <c r="N3" s="7" t="n">
        <f aca="false">+M3*19%</f>
        <v>16285.66</v>
      </c>
      <c r="O3" s="7" t="n">
        <f aca="false">+M3+N3</f>
        <v>101999.66</v>
      </c>
    </row>
    <row r="4" customFormat="false" ht="15.65" hidden="false" customHeight="false" outlineLevel="0" collapsed="false">
      <c r="A4" s="4" t="s">
        <v>22</v>
      </c>
      <c r="B4" s="8" t="s">
        <v>23</v>
      </c>
      <c r="C4" s="10" t="s">
        <v>24</v>
      </c>
      <c r="D4" s="9" t="s">
        <v>25</v>
      </c>
      <c r="E4" s="10"/>
      <c r="F4" s="9"/>
      <c r="G4" s="6" t="n">
        <v>65000</v>
      </c>
      <c r="H4" s="6" t="n">
        <f aca="false">+G4*19%</f>
        <v>12350</v>
      </c>
      <c r="I4" s="6" t="n">
        <f aca="false">+G4+H4</f>
        <v>77350</v>
      </c>
      <c r="J4" s="12"/>
      <c r="K4" s="12" t="n">
        <f aca="false">+J4*19%</f>
        <v>0</v>
      </c>
      <c r="L4" s="12" t="n">
        <f aca="false">+J4+K4</f>
        <v>0</v>
      </c>
      <c r="M4" s="12"/>
      <c r="N4" s="12" t="n">
        <f aca="false">+M4*19%</f>
        <v>0</v>
      </c>
      <c r="O4" s="12" t="n">
        <f aca="false">+M4+N4</f>
        <v>0</v>
      </c>
    </row>
    <row r="5" customFormat="false" ht="15" hidden="false" customHeight="true" outlineLevel="0" collapsed="false">
      <c r="A5" s="4" t="s">
        <v>26</v>
      </c>
      <c r="B5" s="13" t="s">
        <v>27</v>
      </c>
      <c r="C5" s="13" t="s">
        <v>28</v>
      </c>
      <c r="D5" s="13" t="s">
        <v>29</v>
      </c>
      <c r="E5" s="10"/>
      <c r="F5" s="13" t="s">
        <v>30</v>
      </c>
      <c r="G5" s="6" t="n">
        <v>320000</v>
      </c>
      <c r="H5" s="6" t="n">
        <f aca="false">+G5*19%</f>
        <v>60800</v>
      </c>
      <c r="I5" s="6" t="n">
        <f aca="false">+G5+H5</f>
        <v>380800</v>
      </c>
      <c r="J5" s="7" t="n">
        <v>320000</v>
      </c>
      <c r="K5" s="7" t="n">
        <f aca="false">+J5*19%</f>
        <v>60800</v>
      </c>
      <c r="L5" s="7" t="n">
        <f aca="false">+J5+K5</f>
        <v>380800</v>
      </c>
      <c r="M5" s="7" t="n">
        <v>600000</v>
      </c>
      <c r="N5" s="7" t="n">
        <f aca="false">+M5*19%</f>
        <v>114000</v>
      </c>
      <c r="O5" s="7" t="n">
        <f aca="false">+M5+N5</f>
        <v>714000</v>
      </c>
    </row>
    <row r="6" customFormat="false" ht="15" hidden="false" customHeight="true" outlineLevel="0" collapsed="false">
      <c r="A6" s="4" t="s">
        <v>26</v>
      </c>
      <c r="B6" s="13" t="s">
        <v>31</v>
      </c>
      <c r="C6" s="13"/>
      <c r="D6" s="13" t="s">
        <v>32</v>
      </c>
      <c r="E6" s="10"/>
      <c r="F6" s="13" t="s">
        <v>33</v>
      </c>
      <c r="G6" s="6" t="n">
        <v>320000</v>
      </c>
      <c r="H6" s="6" t="n">
        <f aca="false">+G6*19%</f>
        <v>60800</v>
      </c>
      <c r="I6" s="6" t="n">
        <f aca="false">+G6+H6</f>
        <v>380800</v>
      </c>
      <c r="J6" s="7" t="n">
        <v>320000</v>
      </c>
      <c r="K6" s="7" t="n">
        <f aca="false">+J6*19%</f>
        <v>60800</v>
      </c>
      <c r="L6" s="7" t="n">
        <f aca="false">+J6+K6</f>
        <v>380800</v>
      </c>
      <c r="M6" s="7" t="n">
        <v>600000</v>
      </c>
      <c r="N6" s="7" t="n">
        <f aca="false">+M6*19%</f>
        <v>114000</v>
      </c>
      <c r="O6" s="7" t="n">
        <f aca="false">+M6+N6</f>
        <v>714000</v>
      </c>
    </row>
    <row r="7" customFormat="false" ht="15" hidden="false" customHeight="true" outlineLevel="0" collapsed="false">
      <c r="A7" s="4" t="s">
        <v>34</v>
      </c>
      <c r="B7" s="13" t="s">
        <v>35</v>
      </c>
      <c r="C7" s="13"/>
      <c r="D7" s="13"/>
      <c r="E7" s="10"/>
      <c r="F7" s="13" t="s">
        <v>36</v>
      </c>
      <c r="G7" s="6" t="n">
        <v>320000</v>
      </c>
      <c r="H7" s="6" t="n">
        <f aca="false">+G7*19%</f>
        <v>60800</v>
      </c>
      <c r="I7" s="6" t="n">
        <f aca="false">+G7+H7</f>
        <v>380800</v>
      </c>
      <c r="J7" s="7" t="n">
        <v>320000</v>
      </c>
      <c r="K7" s="7" t="n">
        <f aca="false">+J7*19%</f>
        <v>60800</v>
      </c>
      <c r="L7" s="7" t="n">
        <f aca="false">+J7+K7</f>
        <v>380800</v>
      </c>
      <c r="M7" s="7" t="n">
        <v>600000</v>
      </c>
      <c r="N7" s="7" t="n">
        <f aca="false">+M7*19%</f>
        <v>114000</v>
      </c>
      <c r="O7" s="7" t="n">
        <f aca="false">+M7+N7</f>
        <v>714000</v>
      </c>
    </row>
    <row r="8" customFormat="false" ht="15" hidden="false" customHeight="true" outlineLevel="0" collapsed="false">
      <c r="A8" s="4" t="s">
        <v>34</v>
      </c>
      <c r="B8" s="13" t="s">
        <v>37</v>
      </c>
      <c r="C8" s="13" t="s">
        <v>38</v>
      </c>
      <c r="D8" s="13" t="s">
        <v>39</v>
      </c>
      <c r="E8" s="10"/>
      <c r="F8" s="13" t="s">
        <v>18</v>
      </c>
      <c r="G8" s="6" t="n">
        <v>320000</v>
      </c>
      <c r="H8" s="6" t="n">
        <f aca="false">+G8*19%</f>
        <v>60800</v>
      </c>
      <c r="I8" s="6" t="n">
        <f aca="false">+G8+H8</f>
        <v>380800</v>
      </c>
      <c r="J8" s="7" t="n">
        <v>320000</v>
      </c>
      <c r="K8" s="7" t="n">
        <f aca="false">+J8*19%</f>
        <v>60800</v>
      </c>
      <c r="L8" s="7" t="n">
        <f aca="false">+J8+K8</f>
        <v>380800</v>
      </c>
      <c r="M8" s="7" t="n">
        <v>600000</v>
      </c>
      <c r="N8" s="7" t="n">
        <f aca="false">+M8*19%</f>
        <v>114000</v>
      </c>
      <c r="O8" s="7" t="n">
        <f aca="false">+M8+N8</f>
        <v>714000</v>
      </c>
    </row>
    <row r="9" customFormat="false" ht="14.25" hidden="false" customHeight="false" outlineLevel="0" collapsed="false">
      <c r="A9" s="4" t="s">
        <v>40</v>
      </c>
      <c r="B9" s="5" t="s">
        <v>41</v>
      </c>
      <c r="C9" s="5" t="s">
        <v>42</v>
      </c>
      <c r="D9" s="5" t="n">
        <v>831057658</v>
      </c>
      <c r="E9" s="5" t="s">
        <v>43</v>
      </c>
      <c r="F9" s="5" t="s">
        <v>18</v>
      </c>
      <c r="G9" s="6" t="n">
        <v>90000</v>
      </c>
      <c r="H9" s="6" t="n">
        <f aca="false">+G9*19%</f>
        <v>17100</v>
      </c>
      <c r="I9" s="6" t="n">
        <f aca="false">+G9+H9</f>
        <v>107100</v>
      </c>
      <c r="J9" s="7" t="n">
        <v>90000</v>
      </c>
      <c r="K9" s="7" t="n">
        <f aca="false">+J9*19%</f>
        <v>17100</v>
      </c>
      <c r="L9" s="7" t="n">
        <f aca="false">+J9+K9</f>
        <v>107100</v>
      </c>
      <c r="M9" s="7" t="n">
        <v>175300</v>
      </c>
      <c r="N9" s="7" t="n">
        <f aca="false">+M9*19%</f>
        <v>33307</v>
      </c>
      <c r="O9" s="7" t="n">
        <f aca="false">+M9+N9</f>
        <v>208607</v>
      </c>
    </row>
    <row r="10" customFormat="false" ht="14.25" hidden="false" customHeight="false" outlineLevel="0" collapsed="false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18</v>
      </c>
      <c r="G10" s="6" t="n">
        <v>90000</v>
      </c>
      <c r="H10" s="6" t="n">
        <f aca="false">+G10*19%</f>
        <v>17100</v>
      </c>
      <c r="I10" s="6" t="n">
        <f aca="false">+G10+H10</f>
        <v>107100</v>
      </c>
      <c r="J10" s="7" t="n">
        <v>90000</v>
      </c>
      <c r="K10" s="7" t="n">
        <f aca="false">+J10*19%</f>
        <v>17100</v>
      </c>
      <c r="L10" s="7" t="n">
        <f aca="false">+J10+K10</f>
        <v>107100</v>
      </c>
      <c r="M10" s="7" t="n">
        <v>175300</v>
      </c>
      <c r="N10" s="7" t="n">
        <f aca="false">+M10*19%</f>
        <v>33307</v>
      </c>
      <c r="O10" s="7" t="n">
        <f aca="false">+M10+N10</f>
        <v>208607</v>
      </c>
    </row>
    <row r="11" customFormat="false" ht="14.25" hidden="false" customHeight="false" outlineLevel="0" collapsed="false">
      <c r="A11" s="4" t="s">
        <v>49</v>
      </c>
      <c r="B11" s="14" t="s">
        <v>50</v>
      </c>
      <c r="C11" s="14" t="s">
        <v>51</v>
      </c>
      <c r="D11" s="14" t="s">
        <v>52</v>
      </c>
      <c r="E11" s="10"/>
      <c r="F11" s="14" t="s">
        <v>53</v>
      </c>
      <c r="G11" s="6" t="n">
        <v>60000</v>
      </c>
      <c r="H11" s="6" t="n">
        <f aca="false">+G11*19%</f>
        <v>11400</v>
      </c>
      <c r="I11" s="6" t="n">
        <f aca="false">+G11+H11</f>
        <v>71400</v>
      </c>
      <c r="J11" s="7" t="n">
        <v>60000</v>
      </c>
      <c r="K11" s="7" t="n">
        <f aca="false">+J11*19%</f>
        <v>11400</v>
      </c>
      <c r="L11" s="7" t="n">
        <f aca="false">+J11+K11</f>
        <v>71400</v>
      </c>
      <c r="M11" s="7" t="n">
        <v>85714.2857142857</v>
      </c>
      <c r="N11" s="7" t="n">
        <f aca="false">+M11*19%</f>
        <v>16285.7142857143</v>
      </c>
      <c r="O11" s="7" t="n">
        <f aca="false">+M11+N11</f>
        <v>102000</v>
      </c>
    </row>
    <row r="12" customFormat="false" ht="14.25" hidden="false" customHeight="false" outlineLevel="0" collapsed="false">
      <c r="A12" s="4" t="s">
        <v>49</v>
      </c>
      <c r="B12" s="14"/>
      <c r="C12" s="14" t="s">
        <v>54</v>
      </c>
      <c r="D12" s="14"/>
      <c r="E12" s="10"/>
      <c r="F12" s="14" t="s">
        <v>55</v>
      </c>
      <c r="G12" s="6" t="n">
        <v>60000</v>
      </c>
      <c r="H12" s="6" t="n">
        <f aca="false">+G12*19%</f>
        <v>11400</v>
      </c>
      <c r="I12" s="6" t="n">
        <f aca="false">+G12+H12</f>
        <v>71400</v>
      </c>
      <c r="J12" s="7" t="n">
        <v>60000</v>
      </c>
      <c r="K12" s="7" t="n">
        <f aca="false">+J12*19%</f>
        <v>11400</v>
      </c>
      <c r="L12" s="7" t="n">
        <f aca="false">+J12+K12</f>
        <v>71400</v>
      </c>
      <c r="M12" s="7" t="n">
        <v>85714.2857142857</v>
      </c>
      <c r="N12" s="7" t="n">
        <f aca="false">+M12*19%</f>
        <v>16285.7142857143</v>
      </c>
      <c r="O12" s="7" t="n">
        <f aca="false">+M12+N12</f>
        <v>102000</v>
      </c>
    </row>
    <row r="13" customFormat="false" ht="14.25" hidden="false" customHeight="false" outlineLevel="0" collapsed="false">
      <c r="A13" s="4" t="s">
        <v>49</v>
      </c>
      <c r="B13" s="14" t="s">
        <v>56</v>
      </c>
      <c r="C13" s="14" t="s">
        <v>57</v>
      </c>
      <c r="D13" s="14" t="s">
        <v>58</v>
      </c>
      <c r="E13" s="10"/>
      <c r="F13" s="14" t="s">
        <v>59</v>
      </c>
      <c r="G13" s="6" t="n">
        <v>60000</v>
      </c>
      <c r="H13" s="6" t="n">
        <f aca="false">+G13*19%</f>
        <v>11400</v>
      </c>
      <c r="I13" s="6" t="n">
        <f aca="false">+G13+H13</f>
        <v>71400</v>
      </c>
      <c r="J13" s="7" t="n">
        <v>60000</v>
      </c>
      <c r="K13" s="7" t="n">
        <f aca="false">+J13*19%</f>
        <v>11400</v>
      </c>
      <c r="L13" s="7" t="n">
        <f aca="false">+J13+K13</f>
        <v>71400</v>
      </c>
      <c r="M13" s="7" t="n">
        <v>85714.2857142857</v>
      </c>
      <c r="N13" s="7" t="n">
        <f aca="false">+M13*19%</f>
        <v>16285.7142857143</v>
      </c>
      <c r="O13" s="7" t="n">
        <f aca="false">+M13+N13</f>
        <v>102000</v>
      </c>
    </row>
    <row r="14" customFormat="false" ht="14.25" hidden="false" customHeight="false" outlineLevel="0" collapsed="false">
      <c r="A14" s="4" t="s">
        <v>49</v>
      </c>
      <c r="B14" s="14" t="s">
        <v>60</v>
      </c>
      <c r="C14" s="14" t="s">
        <v>61</v>
      </c>
      <c r="D14" s="15" t="s">
        <v>62</v>
      </c>
      <c r="E14" s="10"/>
      <c r="F14" s="14" t="s">
        <v>63</v>
      </c>
      <c r="G14" s="6" t="n">
        <v>60000</v>
      </c>
      <c r="H14" s="6" t="n">
        <f aca="false">+G14*19%</f>
        <v>11400</v>
      </c>
      <c r="I14" s="6" t="n">
        <f aca="false">+G14+H14</f>
        <v>71400</v>
      </c>
      <c r="J14" s="7" t="n">
        <v>60000</v>
      </c>
      <c r="K14" s="7" t="n">
        <f aca="false">+J14*19%</f>
        <v>11400</v>
      </c>
      <c r="L14" s="7" t="n">
        <f aca="false">+J14+K14</f>
        <v>71400</v>
      </c>
      <c r="M14" s="7" t="n">
        <v>85714.2857142857</v>
      </c>
      <c r="N14" s="7" t="n">
        <f aca="false">+M14*19%</f>
        <v>16285.7142857143</v>
      </c>
      <c r="O14" s="7" t="n">
        <f aca="false">+M14+N14</f>
        <v>102000</v>
      </c>
    </row>
    <row r="15" customFormat="false" ht="14.25" hidden="false" customHeight="false" outlineLevel="0" collapsed="false">
      <c r="A15" s="4" t="s">
        <v>49</v>
      </c>
      <c r="B15" s="14" t="s">
        <v>60</v>
      </c>
      <c r="C15" s="14" t="s">
        <v>61</v>
      </c>
      <c r="D15" s="14" t="s">
        <v>64</v>
      </c>
      <c r="E15" s="10"/>
      <c r="F15" s="14" t="s">
        <v>63</v>
      </c>
      <c r="G15" s="6" t="n">
        <v>60000</v>
      </c>
      <c r="H15" s="6" t="n">
        <f aca="false">+G15*19%</f>
        <v>11400</v>
      </c>
      <c r="I15" s="6" t="n">
        <f aca="false">+G15+H15</f>
        <v>71400</v>
      </c>
      <c r="J15" s="7" t="n">
        <v>60000</v>
      </c>
      <c r="K15" s="7" t="n">
        <f aca="false">+J15*19%</f>
        <v>11400</v>
      </c>
      <c r="L15" s="7" t="n">
        <f aca="false">+J15+K15</f>
        <v>71400</v>
      </c>
      <c r="M15" s="7" t="n">
        <v>85714.2857142857</v>
      </c>
      <c r="N15" s="7" t="n">
        <f aca="false">+M15*19%</f>
        <v>16285.7142857143</v>
      </c>
      <c r="O15" s="7" t="n">
        <f aca="false">+M15+N15</f>
        <v>102000</v>
      </c>
    </row>
    <row r="16" customFormat="false" ht="14.25" hidden="false" customHeight="false" outlineLevel="0" collapsed="false">
      <c r="A16" s="4" t="s">
        <v>65</v>
      </c>
      <c r="B16" s="14" t="s">
        <v>66</v>
      </c>
      <c r="C16" s="14" t="s">
        <v>67</v>
      </c>
      <c r="D16" s="14" t="s">
        <v>68</v>
      </c>
      <c r="E16" s="10"/>
      <c r="F16" s="14" t="s">
        <v>69</v>
      </c>
      <c r="G16" s="6" t="n">
        <v>60000</v>
      </c>
      <c r="H16" s="6" t="n">
        <f aca="false">+G16*19%</f>
        <v>11400</v>
      </c>
      <c r="I16" s="6" t="n">
        <f aca="false">+G16+H16</f>
        <v>71400</v>
      </c>
      <c r="J16" s="7" t="n">
        <v>60000</v>
      </c>
      <c r="K16" s="7" t="n">
        <f aca="false">+J16*19%</f>
        <v>11400</v>
      </c>
      <c r="L16" s="7" t="n">
        <f aca="false">+J16+K16</f>
        <v>71400</v>
      </c>
      <c r="M16" s="7" t="n">
        <v>85714.2857142857</v>
      </c>
      <c r="N16" s="7" t="n">
        <f aca="false">+M16*19%</f>
        <v>16285.7142857143</v>
      </c>
      <c r="O16" s="7" t="n">
        <f aca="false">+M16+N16</f>
        <v>102000</v>
      </c>
    </row>
    <row r="17" customFormat="false" ht="14.25" hidden="false" customHeight="false" outlineLevel="0" collapsed="false">
      <c r="A17" s="4" t="s">
        <v>65</v>
      </c>
      <c r="B17" s="8"/>
      <c r="C17" s="9"/>
      <c r="D17" s="9" t="n">
        <v>1289</v>
      </c>
      <c r="E17" s="10"/>
      <c r="F17" s="9" t="s">
        <v>70</v>
      </c>
      <c r="G17" s="6" t="n">
        <v>60000</v>
      </c>
      <c r="H17" s="6" t="n">
        <f aca="false">+G17*19%</f>
        <v>11400</v>
      </c>
      <c r="I17" s="6" t="n">
        <f aca="false">+G17+H17</f>
        <v>71400</v>
      </c>
      <c r="J17" s="7" t="n">
        <v>60000</v>
      </c>
      <c r="K17" s="7" t="n">
        <f aca="false">+J17*19%</f>
        <v>11400</v>
      </c>
      <c r="L17" s="7" t="n">
        <f aca="false">+J17+K17</f>
        <v>71400</v>
      </c>
      <c r="M17" s="7" t="n">
        <v>85714.2857142857</v>
      </c>
      <c r="N17" s="7" t="n">
        <f aca="false">+M17*19%</f>
        <v>16285.7142857143</v>
      </c>
      <c r="O17" s="7" t="n">
        <f aca="false">+M17+N17</f>
        <v>102000</v>
      </c>
    </row>
    <row r="18" customFormat="false" ht="14.25" hidden="false" customHeight="false" outlineLevel="0" collapsed="false">
      <c r="A18" s="4" t="s">
        <v>71</v>
      </c>
      <c r="B18" s="5" t="s">
        <v>72</v>
      </c>
      <c r="C18" s="5" t="n">
        <v>3000</v>
      </c>
      <c r="D18" s="16" t="s">
        <v>73</v>
      </c>
      <c r="E18" s="16" t="s">
        <v>74</v>
      </c>
      <c r="F18" s="5" t="s">
        <v>30</v>
      </c>
      <c r="G18" s="6" t="n">
        <v>150000</v>
      </c>
      <c r="H18" s="6" t="n">
        <f aca="false">+G18*19%</f>
        <v>28500</v>
      </c>
      <c r="I18" s="6" t="n">
        <f aca="false">+G18+H18</f>
        <v>178500</v>
      </c>
      <c r="J18" s="7" t="n">
        <v>150000</v>
      </c>
      <c r="K18" s="7" t="n">
        <f aca="false">+J18*19%</f>
        <v>28500</v>
      </c>
      <c r="L18" s="7" t="n">
        <f aca="false">+J18+K18</f>
        <v>178500</v>
      </c>
      <c r="M18" s="7" t="n">
        <v>214285.714285714</v>
      </c>
      <c r="N18" s="7" t="n">
        <f aca="false">+M18*19%</f>
        <v>40714.2857142857</v>
      </c>
      <c r="O18" s="7" t="n">
        <f aca="false">+M18+N18</f>
        <v>255000</v>
      </c>
    </row>
    <row r="19" customFormat="false" ht="14.25" hidden="false" customHeight="false" outlineLevel="0" collapsed="false">
      <c r="A19" s="4" t="s">
        <v>75</v>
      </c>
      <c r="B19" s="14" t="s">
        <v>76</v>
      </c>
      <c r="C19" s="14" t="s">
        <v>77</v>
      </c>
      <c r="D19" s="14" t="s">
        <v>78</v>
      </c>
      <c r="E19" s="10"/>
      <c r="F19" s="14" t="s">
        <v>79</v>
      </c>
      <c r="G19" s="6" t="n">
        <v>150000</v>
      </c>
      <c r="H19" s="6" t="n">
        <f aca="false">+G19*19%</f>
        <v>28500</v>
      </c>
      <c r="I19" s="6" t="n">
        <f aca="false">+G19+H19</f>
        <v>178500</v>
      </c>
      <c r="J19" s="7" t="n">
        <v>150000</v>
      </c>
      <c r="K19" s="7" t="n">
        <f aca="false">+J19*19%</f>
        <v>28500</v>
      </c>
      <c r="L19" s="7" t="n">
        <f aca="false">+J19+K19</f>
        <v>178500</v>
      </c>
      <c r="M19" s="7" t="n">
        <v>214285.714285714</v>
      </c>
      <c r="N19" s="7" t="n">
        <f aca="false">+M19*19%</f>
        <v>40714.2857142857</v>
      </c>
      <c r="O19" s="7" t="n">
        <f aca="false">+M19+N19</f>
        <v>255000</v>
      </c>
    </row>
    <row r="20" customFormat="false" ht="14.25" hidden="false" customHeight="false" outlineLevel="0" collapsed="false">
      <c r="A20" s="4" t="s">
        <v>80</v>
      </c>
      <c r="B20" s="17" t="s">
        <v>81</v>
      </c>
      <c r="C20" s="18" t="n">
        <v>336</v>
      </c>
      <c r="D20" s="17" t="s">
        <v>81</v>
      </c>
      <c r="E20" s="10"/>
      <c r="F20" s="18" t="s">
        <v>18</v>
      </c>
      <c r="G20" s="6" t="n">
        <v>70000</v>
      </c>
      <c r="H20" s="6" t="n">
        <f aca="false">+G20*19%</f>
        <v>13300</v>
      </c>
      <c r="I20" s="6" t="n">
        <f aca="false">+G20+H20</f>
        <v>83300</v>
      </c>
      <c r="J20" s="7" t="n">
        <v>70000</v>
      </c>
      <c r="K20" s="7" t="n">
        <f aca="false">+J20*19%</f>
        <v>13300</v>
      </c>
      <c r="L20" s="7" t="n">
        <f aca="false">+J20+K20</f>
        <v>83300</v>
      </c>
      <c r="M20" s="7" t="n">
        <v>100000</v>
      </c>
      <c r="N20" s="7" t="n">
        <f aca="false">+M20*19%</f>
        <v>19000</v>
      </c>
      <c r="O20" s="7" t="n">
        <f aca="false">+M20+N20</f>
        <v>119000</v>
      </c>
    </row>
    <row r="21" customFormat="false" ht="15" hidden="false" customHeight="true" outlineLevel="0" collapsed="false">
      <c r="A21" s="4" t="s">
        <v>82</v>
      </c>
      <c r="B21" s="13" t="s">
        <v>83</v>
      </c>
      <c r="C21" s="13" t="s">
        <v>84</v>
      </c>
      <c r="D21" s="13" t="n">
        <v>8639401</v>
      </c>
      <c r="E21" s="10"/>
      <c r="F21" s="13" t="s">
        <v>85</v>
      </c>
      <c r="G21" s="6" t="n">
        <v>65000</v>
      </c>
      <c r="H21" s="6" t="n">
        <f aca="false">+G21*19%</f>
        <v>12350</v>
      </c>
      <c r="I21" s="6" t="n">
        <f aca="false">+G21+H21</f>
        <v>77350</v>
      </c>
      <c r="J21" s="7" t="n">
        <v>65000</v>
      </c>
      <c r="K21" s="7" t="n">
        <f aca="false">+J21*19%</f>
        <v>12350</v>
      </c>
      <c r="L21" s="7" t="n">
        <f aca="false">+J21+K21</f>
        <v>77350</v>
      </c>
      <c r="M21" s="7" t="n">
        <v>137855</v>
      </c>
      <c r="N21" s="7" t="n">
        <f aca="false">+M21*19%</f>
        <v>26192.45</v>
      </c>
      <c r="O21" s="7" t="n">
        <f aca="false">+M21+N21</f>
        <v>164047.45</v>
      </c>
    </row>
    <row r="22" customFormat="false" ht="15" hidden="false" customHeight="true" outlineLevel="0" collapsed="false">
      <c r="A22" s="4" t="s">
        <v>82</v>
      </c>
      <c r="B22" s="13" t="s">
        <v>83</v>
      </c>
      <c r="C22" s="13" t="s">
        <v>84</v>
      </c>
      <c r="D22" s="13" t="n">
        <v>8639410</v>
      </c>
      <c r="E22" s="10"/>
      <c r="F22" s="13" t="s">
        <v>86</v>
      </c>
      <c r="G22" s="6" t="n">
        <v>65000</v>
      </c>
      <c r="H22" s="6" t="n">
        <f aca="false">+G22*19%</f>
        <v>12350</v>
      </c>
      <c r="I22" s="6" t="n">
        <f aca="false">+G22+H22</f>
        <v>77350</v>
      </c>
      <c r="J22" s="7" t="n">
        <v>65000</v>
      </c>
      <c r="K22" s="7" t="n">
        <f aca="false">+J22*19%</f>
        <v>12350</v>
      </c>
      <c r="L22" s="7" t="n">
        <f aca="false">+J22+K22</f>
        <v>77350</v>
      </c>
      <c r="M22" s="7" t="n">
        <v>137855</v>
      </c>
      <c r="N22" s="7" t="n">
        <f aca="false">+M22*19%</f>
        <v>26192.45</v>
      </c>
      <c r="O22" s="7" t="n">
        <f aca="false">+M22+N22</f>
        <v>164047.45</v>
      </c>
    </row>
    <row r="23" customFormat="false" ht="15" hidden="false" customHeight="true" outlineLevel="0" collapsed="false">
      <c r="A23" s="4" t="s">
        <v>82</v>
      </c>
      <c r="B23" s="13" t="s">
        <v>83</v>
      </c>
      <c r="C23" s="13" t="s">
        <v>84</v>
      </c>
      <c r="D23" s="13" t="n">
        <v>8639409</v>
      </c>
      <c r="E23" s="10"/>
      <c r="F23" s="13" t="s">
        <v>87</v>
      </c>
      <c r="G23" s="6" t="n">
        <v>65000</v>
      </c>
      <c r="H23" s="6" t="n">
        <f aca="false">+G23*19%</f>
        <v>12350</v>
      </c>
      <c r="I23" s="6" t="n">
        <f aca="false">+G23+H23</f>
        <v>77350</v>
      </c>
      <c r="J23" s="7" t="n">
        <v>65000</v>
      </c>
      <c r="K23" s="7" t="n">
        <f aca="false">+J23*19%</f>
        <v>12350</v>
      </c>
      <c r="L23" s="7" t="n">
        <f aca="false">+J23+K23</f>
        <v>77350</v>
      </c>
      <c r="M23" s="7" t="n">
        <v>137855</v>
      </c>
      <c r="N23" s="7" t="n">
        <f aca="false">+M23*19%</f>
        <v>26192.45</v>
      </c>
      <c r="O23" s="7" t="n">
        <f aca="false">+M23+N23</f>
        <v>164047.45</v>
      </c>
    </row>
    <row r="24" customFormat="false" ht="15" hidden="false" customHeight="true" outlineLevel="0" collapsed="false">
      <c r="A24" s="4" t="s">
        <v>82</v>
      </c>
      <c r="B24" s="13" t="s">
        <v>83</v>
      </c>
      <c r="C24" s="13" t="s">
        <v>84</v>
      </c>
      <c r="D24" s="13" t="n">
        <v>8639406</v>
      </c>
      <c r="E24" s="10"/>
      <c r="F24" s="13" t="s">
        <v>88</v>
      </c>
      <c r="G24" s="6" t="n">
        <v>65000</v>
      </c>
      <c r="H24" s="6" t="n">
        <f aca="false">+G24*19%</f>
        <v>12350</v>
      </c>
      <c r="I24" s="6" t="n">
        <f aca="false">+G24+H24</f>
        <v>77350</v>
      </c>
      <c r="J24" s="7" t="n">
        <v>65000</v>
      </c>
      <c r="K24" s="7" t="n">
        <f aca="false">+J24*19%</f>
        <v>12350</v>
      </c>
      <c r="L24" s="7" t="n">
        <f aca="false">+J24+K24</f>
        <v>77350</v>
      </c>
      <c r="M24" s="7" t="n">
        <v>137855</v>
      </c>
      <c r="N24" s="7" t="n">
        <f aca="false">+M24*19%</f>
        <v>26192.45</v>
      </c>
      <c r="O24" s="7" t="n">
        <f aca="false">+M24+N24</f>
        <v>164047.45</v>
      </c>
    </row>
    <row r="25" customFormat="false" ht="15" hidden="false" customHeight="true" outlineLevel="0" collapsed="false">
      <c r="A25" s="4" t="s">
        <v>89</v>
      </c>
      <c r="B25" s="13" t="s">
        <v>90</v>
      </c>
      <c r="C25" s="13" t="s">
        <v>91</v>
      </c>
      <c r="D25" s="13" t="s">
        <v>92</v>
      </c>
      <c r="E25" s="10"/>
      <c r="F25" s="13" t="s">
        <v>18</v>
      </c>
      <c r="G25" s="6" t="n">
        <v>65000</v>
      </c>
      <c r="H25" s="6" t="n">
        <f aca="false">+G25*19%</f>
        <v>12350</v>
      </c>
      <c r="I25" s="6" t="n">
        <f aca="false">+G25+H25</f>
        <v>77350</v>
      </c>
      <c r="J25" s="11" t="n">
        <v>60000</v>
      </c>
      <c r="K25" s="7" t="n">
        <f aca="false">+J25*19%</f>
        <v>11400</v>
      </c>
      <c r="L25" s="7" t="n">
        <f aca="false">+J25+K25</f>
        <v>71400</v>
      </c>
      <c r="M25" s="7" t="n">
        <v>128770</v>
      </c>
      <c r="N25" s="7" t="n">
        <f aca="false">+M25*19%</f>
        <v>24466.3</v>
      </c>
      <c r="O25" s="7" t="n">
        <f aca="false">+M25+N25</f>
        <v>153236.3</v>
      </c>
    </row>
    <row r="26" customFormat="false" ht="15" hidden="false" customHeight="true" outlineLevel="0" collapsed="false">
      <c r="A26" s="4" t="s">
        <v>93</v>
      </c>
      <c r="B26" s="13" t="s">
        <v>94</v>
      </c>
      <c r="C26" s="13" t="s">
        <v>95</v>
      </c>
      <c r="D26" s="13"/>
      <c r="E26" s="10"/>
      <c r="F26" s="13" t="s">
        <v>96</v>
      </c>
      <c r="G26" s="6" t="n">
        <v>65000</v>
      </c>
      <c r="H26" s="6" t="n">
        <f aca="false">+G26*19%</f>
        <v>12350</v>
      </c>
      <c r="I26" s="6" t="n">
        <f aca="false">+G26+H26</f>
        <v>77350</v>
      </c>
      <c r="J26" s="7" t="n">
        <v>65000</v>
      </c>
      <c r="K26" s="7" t="n">
        <f aca="false">+J26*19%</f>
        <v>12350</v>
      </c>
      <c r="L26" s="7" t="n">
        <f aca="false">+J26+K26</f>
        <v>77350</v>
      </c>
      <c r="M26" s="7" t="n">
        <v>92857.1428571429</v>
      </c>
      <c r="N26" s="7" t="n">
        <f aca="false">+M26*19%</f>
        <v>17642.8571428572</v>
      </c>
      <c r="O26" s="7" t="n">
        <f aca="false">+M26+N26</f>
        <v>110500</v>
      </c>
    </row>
    <row r="27" customFormat="false" ht="15" hidden="false" customHeight="true" outlineLevel="0" collapsed="false">
      <c r="A27" s="4" t="s">
        <v>93</v>
      </c>
      <c r="B27" s="13" t="s">
        <v>94</v>
      </c>
      <c r="C27" s="13" t="s">
        <v>95</v>
      </c>
      <c r="D27" s="13"/>
      <c r="E27" s="10"/>
      <c r="F27" s="13" t="s">
        <v>96</v>
      </c>
      <c r="G27" s="6" t="n">
        <v>65000</v>
      </c>
      <c r="H27" s="6" t="n">
        <f aca="false">+G27*19%</f>
        <v>12350</v>
      </c>
      <c r="I27" s="6" t="n">
        <f aca="false">+G27+H27</f>
        <v>77350</v>
      </c>
      <c r="J27" s="7" t="n">
        <v>65000</v>
      </c>
      <c r="K27" s="7" t="n">
        <f aca="false">+J27*19%</f>
        <v>12350</v>
      </c>
      <c r="L27" s="7" t="n">
        <f aca="false">+J27+K27</f>
        <v>77350</v>
      </c>
      <c r="M27" s="7" t="n">
        <v>92857.1428571429</v>
      </c>
      <c r="N27" s="7" t="n">
        <f aca="false">+M27*19%</f>
        <v>17642.8571428572</v>
      </c>
      <c r="O27" s="7" t="n">
        <f aca="false">+M27+N27</f>
        <v>110500</v>
      </c>
    </row>
    <row r="28" customFormat="false" ht="15" hidden="false" customHeight="true" outlineLevel="0" collapsed="false">
      <c r="A28" s="4" t="s">
        <v>93</v>
      </c>
      <c r="B28" s="13" t="s">
        <v>94</v>
      </c>
      <c r="C28" s="13" t="s">
        <v>95</v>
      </c>
      <c r="D28" s="13"/>
      <c r="E28" s="10"/>
      <c r="F28" s="13" t="s">
        <v>96</v>
      </c>
      <c r="G28" s="6" t="n">
        <v>65000</v>
      </c>
      <c r="H28" s="6" t="n">
        <f aca="false">+G28*19%</f>
        <v>12350</v>
      </c>
      <c r="I28" s="6" t="n">
        <f aca="false">+G28+H28</f>
        <v>77350</v>
      </c>
      <c r="J28" s="7" t="n">
        <v>65000</v>
      </c>
      <c r="K28" s="7" t="n">
        <f aca="false">+J28*19%</f>
        <v>12350</v>
      </c>
      <c r="L28" s="7" t="n">
        <f aca="false">+J28+K28</f>
        <v>77350</v>
      </c>
      <c r="M28" s="7" t="n">
        <v>92857.1428571429</v>
      </c>
      <c r="N28" s="7" t="n">
        <f aca="false">+M28*19%</f>
        <v>17642.8571428572</v>
      </c>
      <c r="O28" s="7" t="n">
        <f aca="false">+M28+N28</f>
        <v>110500</v>
      </c>
    </row>
    <row r="29" customFormat="false" ht="15" hidden="false" customHeight="true" outlineLevel="0" collapsed="false">
      <c r="A29" s="4" t="s">
        <v>93</v>
      </c>
      <c r="B29" s="13" t="s">
        <v>94</v>
      </c>
      <c r="C29" s="13" t="s">
        <v>95</v>
      </c>
      <c r="D29" s="13"/>
      <c r="E29" s="10"/>
      <c r="F29" s="13" t="s">
        <v>96</v>
      </c>
      <c r="G29" s="6" t="n">
        <v>65000</v>
      </c>
      <c r="H29" s="6" t="n">
        <f aca="false">+G29*19%</f>
        <v>12350</v>
      </c>
      <c r="I29" s="6" t="n">
        <f aca="false">+G29+H29</f>
        <v>77350</v>
      </c>
      <c r="J29" s="7" t="n">
        <v>65000</v>
      </c>
      <c r="K29" s="7" t="n">
        <f aca="false">+J29*19%</f>
        <v>12350</v>
      </c>
      <c r="L29" s="7" t="n">
        <f aca="false">+J29+K29</f>
        <v>77350</v>
      </c>
      <c r="M29" s="7" t="n">
        <v>92857.1428571429</v>
      </c>
      <c r="N29" s="7" t="n">
        <f aca="false">+M29*19%</f>
        <v>17642.8571428572</v>
      </c>
      <c r="O29" s="7" t="n">
        <f aca="false">+M29+N29</f>
        <v>110500</v>
      </c>
    </row>
    <row r="30" customFormat="false" ht="15" hidden="false" customHeight="true" outlineLevel="0" collapsed="false">
      <c r="A30" s="4" t="s">
        <v>93</v>
      </c>
      <c r="B30" s="13" t="s">
        <v>94</v>
      </c>
      <c r="C30" s="13"/>
      <c r="D30" s="13"/>
      <c r="E30" s="10"/>
      <c r="F30" s="13" t="s">
        <v>96</v>
      </c>
      <c r="G30" s="6" t="n">
        <v>65000</v>
      </c>
      <c r="H30" s="6" t="n">
        <f aca="false">+G30*19%</f>
        <v>12350</v>
      </c>
      <c r="I30" s="6" t="n">
        <f aca="false">+G30+H30</f>
        <v>77350</v>
      </c>
      <c r="J30" s="7" t="n">
        <v>65000</v>
      </c>
      <c r="K30" s="7" t="n">
        <f aca="false">+J30*19%</f>
        <v>12350</v>
      </c>
      <c r="L30" s="7" t="n">
        <f aca="false">+J30+K30</f>
        <v>77350</v>
      </c>
      <c r="M30" s="7" t="n">
        <v>92857.1428571429</v>
      </c>
      <c r="N30" s="7" t="n">
        <f aca="false">+M30*19%</f>
        <v>17642.8571428572</v>
      </c>
      <c r="O30" s="7" t="n">
        <f aca="false">+M30+N30</f>
        <v>110500</v>
      </c>
    </row>
    <row r="31" customFormat="false" ht="15" hidden="false" customHeight="true" outlineLevel="0" collapsed="false">
      <c r="A31" s="4" t="s">
        <v>93</v>
      </c>
      <c r="B31" s="13" t="s">
        <v>94</v>
      </c>
      <c r="C31" s="13" t="s">
        <v>95</v>
      </c>
      <c r="D31" s="13"/>
      <c r="E31" s="10"/>
      <c r="F31" s="13" t="s">
        <v>96</v>
      </c>
      <c r="G31" s="6" t="n">
        <v>65000</v>
      </c>
      <c r="H31" s="6" t="n">
        <f aca="false">+G31*19%</f>
        <v>12350</v>
      </c>
      <c r="I31" s="6" t="n">
        <f aca="false">+G31+H31</f>
        <v>77350</v>
      </c>
      <c r="J31" s="7" t="n">
        <v>65000</v>
      </c>
      <c r="K31" s="7" t="n">
        <f aca="false">+J31*19%</f>
        <v>12350</v>
      </c>
      <c r="L31" s="7" t="n">
        <f aca="false">+J31+K31</f>
        <v>77350</v>
      </c>
      <c r="M31" s="7" t="n">
        <v>92857.1428571429</v>
      </c>
      <c r="N31" s="7" t="n">
        <f aca="false">+M31*19%</f>
        <v>17642.8571428572</v>
      </c>
      <c r="O31" s="7" t="n">
        <f aca="false">+M31+N31</f>
        <v>110500</v>
      </c>
    </row>
    <row r="32" customFormat="false" ht="15" hidden="false" customHeight="true" outlineLevel="0" collapsed="false">
      <c r="A32" s="4" t="s">
        <v>97</v>
      </c>
      <c r="B32" s="13" t="s">
        <v>98</v>
      </c>
      <c r="C32" s="13" t="s">
        <v>99</v>
      </c>
      <c r="D32" s="13" t="n">
        <v>4008438</v>
      </c>
      <c r="E32" s="10"/>
      <c r="F32" s="13" t="s">
        <v>87</v>
      </c>
      <c r="G32" s="6" t="n">
        <v>65000</v>
      </c>
      <c r="H32" s="6" t="n">
        <f aca="false">+G32*19%</f>
        <v>12350</v>
      </c>
      <c r="I32" s="6" t="n">
        <f aca="false">+G32+H32</f>
        <v>77350</v>
      </c>
      <c r="J32" s="7" t="n">
        <v>65000</v>
      </c>
      <c r="K32" s="7" t="n">
        <f aca="false">+J32*19%</f>
        <v>12350</v>
      </c>
      <c r="L32" s="7" t="n">
        <f aca="false">+J32+K32</f>
        <v>77350</v>
      </c>
      <c r="M32" s="7" t="n">
        <v>137855</v>
      </c>
      <c r="N32" s="7" t="n">
        <f aca="false">+M32*19%</f>
        <v>26192.45</v>
      </c>
      <c r="O32" s="7" t="n">
        <f aca="false">+M32+N32</f>
        <v>164047.45</v>
      </c>
    </row>
    <row r="33" customFormat="false" ht="15" hidden="false" customHeight="true" outlineLevel="0" collapsed="false">
      <c r="A33" s="4" t="s">
        <v>97</v>
      </c>
      <c r="B33" s="13" t="s">
        <v>98</v>
      </c>
      <c r="C33" s="13" t="s">
        <v>99</v>
      </c>
      <c r="D33" s="13" t="s">
        <v>100</v>
      </c>
      <c r="E33" s="10"/>
      <c r="F33" s="13" t="s">
        <v>87</v>
      </c>
      <c r="G33" s="6" t="n">
        <v>65000</v>
      </c>
      <c r="H33" s="6" t="n">
        <f aca="false">+G33*19%</f>
        <v>12350</v>
      </c>
      <c r="I33" s="6" t="n">
        <f aca="false">+G33+H33</f>
        <v>77350</v>
      </c>
      <c r="J33" s="7" t="n">
        <v>65000</v>
      </c>
      <c r="K33" s="7" t="n">
        <f aca="false">+J33*19%</f>
        <v>12350</v>
      </c>
      <c r="L33" s="7" t="n">
        <f aca="false">+J33+K33</f>
        <v>77350</v>
      </c>
      <c r="M33" s="7" t="n">
        <v>137855</v>
      </c>
      <c r="N33" s="7" t="n">
        <f aca="false">+M33*19%</f>
        <v>26192.45</v>
      </c>
      <c r="O33" s="7" t="n">
        <f aca="false">+M33+N33</f>
        <v>164047.45</v>
      </c>
    </row>
    <row r="34" customFormat="false" ht="15" hidden="false" customHeight="true" outlineLevel="0" collapsed="false">
      <c r="A34" s="4" t="s">
        <v>97</v>
      </c>
      <c r="B34" s="13" t="s">
        <v>101</v>
      </c>
      <c r="C34" s="13" t="s">
        <v>102</v>
      </c>
      <c r="D34" s="19" t="n">
        <v>91380120080016</v>
      </c>
      <c r="E34" s="10"/>
      <c r="F34" s="13" t="s">
        <v>103</v>
      </c>
      <c r="G34" s="6" t="n">
        <v>65000</v>
      </c>
      <c r="H34" s="6" t="n">
        <f aca="false">+G34*19%</f>
        <v>12350</v>
      </c>
      <c r="I34" s="6" t="n">
        <f aca="false">+G34+H34</f>
        <v>77350</v>
      </c>
      <c r="J34" s="7" t="n">
        <v>65000</v>
      </c>
      <c r="K34" s="7" t="n">
        <f aca="false">+J34*19%</f>
        <v>12350</v>
      </c>
      <c r="L34" s="7" t="n">
        <f aca="false">+J34+K34</f>
        <v>77350</v>
      </c>
      <c r="M34" s="7" t="n">
        <v>137855</v>
      </c>
      <c r="N34" s="7" t="n">
        <f aca="false">+M34*19%</f>
        <v>26192.45</v>
      </c>
      <c r="O34" s="7" t="n">
        <f aca="false">+M34+N34</f>
        <v>164047.45</v>
      </c>
    </row>
    <row r="35" customFormat="false" ht="14.25" hidden="false" customHeight="false" outlineLevel="0" collapsed="false">
      <c r="A35" s="4" t="s">
        <v>104</v>
      </c>
      <c r="B35" s="5" t="s">
        <v>105</v>
      </c>
      <c r="C35" s="5" t="s">
        <v>106</v>
      </c>
      <c r="D35" s="5" t="s">
        <v>107</v>
      </c>
      <c r="E35" s="5" t="s">
        <v>108</v>
      </c>
      <c r="F35" s="5" t="s">
        <v>18</v>
      </c>
      <c r="G35" s="6" t="n">
        <v>80000</v>
      </c>
      <c r="H35" s="6" t="n">
        <f aca="false">+G35*19%</f>
        <v>15200</v>
      </c>
      <c r="I35" s="6" t="n">
        <f aca="false">+G35+H35</f>
        <v>95200</v>
      </c>
      <c r="J35" s="7" t="n">
        <v>80000</v>
      </c>
      <c r="K35" s="7" t="n">
        <f aca="false">+J35*19%</f>
        <v>15200</v>
      </c>
      <c r="L35" s="7" t="n">
        <f aca="false">+J35+K35</f>
        <v>95200</v>
      </c>
      <c r="M35" s="12"/>
      <c r="N35" s="12" t="n">
        <f aca="false">+M35*19%</f>
        <v>0</v>
      </c>
      <c r="O35" s="12" t="n">
        <f aca="false">+M35+N35</f>
        <v>0</v>
      </c>
    </row>
    <row r="36" customFormat="false" ht="15" hidden="false" customHeight="true" outlineLevel="0" collapsed="false">
      <c r="A36" s="4" t="s">
        <v>109</v>
      </c>
      <c r="B36" s="13"/>
      <c r="C36" s="13"/>
      <c r="D36" s="13"/>
      <c r="E36" s="10"/>
      <c r="F36" s="13" t="s">
        <v>103</v>
      </c>
      <c r="G36" s="6" t="n">
        <v>55000</v>
      </c>
      <c r="H36" s="6" t="n">
        <f aca="false">+G36*19%</f>
        <v>10450</v>
      </c>
      <c r="I36" s="6" t="n">
        <f aca="false">+G36+H36</f>
        <v>65450</v>
      </c>
      <c r="J36" s="12"/>
      <c r="K36" s="12" t="n">
        <f aca="false">+J36*19%</f>
        <v>0</v>
      </c>
      <c r="L36" s="12" t="n">
        <f aca="false">+J36+K36</f>
        <v>0</v>
      </c>
      <c r="M36" s="12"/>
      <c r="N36" s="12" t="n">
        <f aca="false">+M36*19%</f>
        <v>0</v>
      </c>
      <c r="O36" s="12" t="n">
        <f aca="false">+M36+N36</f>
        <v>0</v>
      </c>
    </row>
    <row r="37" customFormat="false" ht="14.25" hidden="false" customHeight="false" outlineLevel="0" collapsed="false">
      <c r="A37" s="4" t="s">
        <v>110</v>
      </c>
      <c r="B37" s="5" t="s">
        <v>111</v>
      </c>
      <c r="C37" s="5" t="s">
        <v>112</v>
      </c>
      <c r="D37" s="16" t="s">
        <v>113</v>
      </c>
      <c r="E37" s="16" t="s">
        <v>114</v>
      </c>
      <c r="F37" s="5" t="s">
        <v>115</v>
      </c>
      <c r="G37" s="6" t="n">
        <v>65000</v>
      </c>
      <c r="H37" s="6" t="n">
        <f aca="false">+G37*19%</f>
        <v>12350</v>
      </c>
      <c r="I37" s="6" t="n">
        <f aca="false">+G37+H37</f>
        <v>77350</v>
      </c>
      <c r="J37" s="7" t="n">
        <v>65000</v>
      </c>
      <c r="K37" s="7" t="n">
        <f aca="false">+J37*19%</f>
        <v>12350</v>
      </c>
      <c r="L37" s="7" t="n">
        <f aca="false">+J37+K37</f>
        <v>77350</v>
      </c>
      <c r="M37" s="7" t="n">
        <v>154007</v>
      </c>
      <c r="N37" s="7" t="n">
        <f aca="false">+M37*19%</f>
        <v>29261.33</v>
      </c>
      <c r="O37" s="7" t="n">
        <f aca="false">+M37+N37</f>
        <v>183268.33</v>
      </c>
    </row>
    <row r="38" customFormat="false" ht="15" hidden="false" customHeight="true" outlineLevel="0" collapsed="false">
      <c r="A38" s="4" t="s">
        <v>110</v>
      </c>
      <c r="B38" s="5" t="s">
        <v>116</v>
      </c>
      <c r="C38" s="5" t="s">
        <v>117</v>
      </c>
      <c r="D38" s="20" t="s">
        <v>118</v>
      </c>
      <c r="E38" s="5"/>
      <c r="F38" s="5" t="s">
        <v>30</v>
      </c>
      <c r="G38" s="6" t="n">
        <v>65000</v>
      </c>
      <c r="H38" s="6" t="n">
        <f aca="false">+G38*19%</f>
        <v>12350</v>
      </c>
      <c r="I38" s="6" t="n">
        <f aca="false">+G38+H38</f>
        <v>77350</v>
      </c>
      <c r="J38" s="7" t="n">
        <v>65000</v>
      </c>
      <c r="K38" s="7" t="n">
        <f aca="false">+J38*19%</f>
        <v>12350</v>
      </c>
      <c r="L38" s="7" t="n">
        <f aca="false">+J38+K38</f>
        <v>77350</v>
      </c>
      <c r="M38" s="11" t="n">
        <v>154007</v>
      </c>
      <c r="N38" s="7" t="n">
        <f aca="false">+M38*19%</f>
        <v>29261.33</v>
      </c>
      <c r="O38" s="7" t="n">
        <f aca="false">+M38+N38</f>
        <v>183268.33</v>
      </c>
    </row>
    <row r="39" customFormat="false" ht="14.25" hidden="false" customHeight="false" outlineLevel="0" collapsed="false">
      <c r="A39" s="4" t="s">
        <v>119</v>
      </c>
      <c r="B39" s="5" t="s">
        <v>16</v>
      </c>
      <c r="C39" s="5" t="s">
        <v>120</v>
      </c>
      <c r="D39" s="5" t="n">
        <v>13721</v>
      </c>
      <c r="E39" s="5"/>
      <c r="F39" s="5" t="s">
        <v>18</v>
      </c>
      <c r="G39" s="6" t="n">
        <v>90000</v>
      </c>
      <c r="H39" s="6" t="n">
        <f aca="false">+G39*19%</f>
        <v>17100</v>
      </c>
      <c r="I39" s="6" t="n">
        <f aca="false">+G39+H39</f>
        <v>107100</v>
      </c>
      <c r="J39" s="7" t="n">
        <v>95000</v>
      </c>
      <c r="K39" s="7" t="n">
        <f aca="false">+J39*19%</f>
        <v>18050</v>
      </c>
      <c r="L39" s="7" t="n">
        <f aca="false">+J39+K39</f>
        <v>113050</v>
      </c>
      <c r="M39" s="7" t="n">
        <v>146666.666666667</v>
      </c>
      <c r="N39" s="7" t="n">
        <f aca="false">+M39*19%</f>
        <v>27866.6666666667</v>
      </c>
      <c r="O39" s="7" t="n">
        <f aca="false">+M39+N39</f>
        <v>174533.333333334</v>
      </c>
    </row>
    <row r="40" customFormat="false" ht="15" hidden="false" customHeight="true" outlineLevel="0" collapsed="false">
      <c r="A40" s="4" t="s">
        <v>121</v>
      </c>
      <c r="B40" s="13" t="s">
        <v>122</v>
      </c>
      <c r="C40" s="13" t="s">
        <v>123</v>
      </c>
      <c r="D40" s="13" t="n">
        <v>2015076668</v>
      </c>
      <c r="E40" s="10"/>
      <c r="F40" s="13" t="s">
        <v>36</v>
      </c>
      <c r="G40" s="6" t="n">
        <v>130000</v>
      </c>
      <c r="H40" s="6" t="n">
        <f aca="false">+G40*19%</f>
        <v>24700</v>
      </c>
      <c r="I40" s="6" t="n">
        <f aca="false">+G40+H40</f>
        <v>154700</v>
      </c>
      <c r="J40" s="7" t="n">
        <v>130000</v>
      </c>
      <c r="K40" s="7" t="n">
        <f aca="false">+J40*19%</f>
        <v>24700</v>
      </c>
      <c r="L40" s="7" t="n">
        <f aca="false">+J40+K40</f>
        <v>154700</v>
      </c>
      <c r="M40" s="7" t="n">
        <v>214285.714285714</v>
      </c>
      <c r="N40" s="7" t="n">
        <f aca="false">+M40*19%</f>
        <v>40714.2857142857</v>
      </c>
      <c r="O40" s="7" t="n">
        <f aca="false">+M40+N40</f>
        <v>255000</v>
      </c>
    </row>
    <row r="41" customFormat="false" ht="15" hidden="false" customHeight="true" outlineLevel="0" collapsed="false">
      <c r="A41" s="4" t="s">
        <v>121</v>
      </c>
      <c r="B41" s="13" t="s">
        <v>124</v>
      </c>
      <c r="C41" s="13" t="s">
        <v>125</v>
      </c>
      <c r="D41" s="13" t="n">
        <v>241204010</v>
      </c>
      <c r="E41" s="10"/>
      <c r="F41" s="13" t="s">
        <v>36</v>
      </c>
      <c r="G41" s="6" t="n">
        <v>130000</v>
      </c>
      <c r="H41" s="6" t="n">
        <f aca="false">+G41*19%</f>
        <v>24700</v>
      </c>
      <c r="I41" s="6" t="n">
        <f aca="false">+G41+H41</f>
        <v>154700</v>
      </c>
      <c r="J41" s="7" t="n">
        <v>130000</v>
      </c>
      <c r="K41" s="7" t="n">
        <f aca="false">+J41*19%</f>
        <v>24700</v>
      </c>
      <c r="L41" s="7" t="n">
        <f aca="false">+J41+K41</f>
        <v>154700</v>
      </c>
      <c r="M41" s="7" t="n">
        <v>214285.714285714</v>
      </c>
      <c r="N41" s="7" t="n">
        <f aca="false">+M41*19%</f>
        <v>40714.2857142857</v>
      </c>
      <c r="O41" s="7" t="n">
        <f aca="false">+M41+N41</f>
        <v>255000</v>
      </c>
    </row>
    <row r="42" customFormat="false" ht="15" hidden="false" customHeight="true" outlineLevel="0" collapsed="false">
      <c r="A42" s="4" t="s">
        <v>121</v>
      </c>
      <c r="B42" s="13" t="s">
        <v>126</v>
      </c>
      <c r="C42" s="13" t="s">
        <v>127</v>
      </c>
      <c r="D42" s="13" t="s">
        <v>128</v>
      </c>
      <c r="E42" s="10"/>
      <c r="F42" s="13" t="s">
        <v>129</v>
      </c>
      <c r="G42" s="6" t="n">
        <v>130000</v>
      </c>
      <c r="H42" s="6" t="n">
        <f aca="false">+G42*19%</f>
        <v>24700</v>
      </c>
      <c r="I42" s="6" t="n">
        <f aca="false">+G42+H42</f>
        <v>154700</v>
      </c>
      <c r="J42" s="7" t="n">
        <v>130000</v>
      </c>
      <c r="K42" s="7" t="n">
        <f aca="false">+J42*19%</f>
        <v>24700</v>
      </c>
      <c r="L42" s="7" t="n">
        <f aca="false">+J42+K42</f>
        <v>154700</v>
      </c>
      <c r="M42" s="7" t="n">
        <v>214285.714285714</v>
      </c>
      <c r="N42" s="7" t="n">
        <f aca="false">+M42*19%</f>
        <v>40714.2857142857</v>
      </c>
      <c r="O42" s="7" t="n">
        <f aca="false">+M42+N42</f>
        <v>255000</v>
      </c>
    </row>
    <row r="43" customFormat="false" ht="14.25" hidden="false" customHeight="false" outlineLevel="0" collapsed="false">
      <c r="A43" s="4" t="s">
        <v>130</v>
      </c>
      <c r="B43" s="21" t="s">
        <v>131</v>
      </c>
      <c r="C43" s="21" t="s">
        <v>132</v>
      </c>
      <c r="D43" s="22" t="s">
        <v>133</v>
      </c>
      <c r="E43" s="10"/>
      <c r="F43" s="21" t="s">
        <v>59</v>
      </c>
      <c r="G43" s="6" t="n">
        <v>95000</v>
      </c>
      <c r="H43" s="6" t="n">
        <f aca="false">+G43*19%</f>
        <v>18050</v>
      </c>
      <c r="I43" s="6" t="n">
        <f aca="false">+G43+H43</f>
        <v>113050</v>
      </c>
      <c r="J43" s="7" t="n">
        <v>95000</v>
      </c>
      <c r="K43" s="7" t="n">
        <f aca="false">+J43*19%</f>
        <v>18050</v>
      </c>
      <c r="L43" s="7" t="n">
        <f aca="false">+J43+K43</f>
        <v>113050</v>
      </c>
      <c r="M43" s="7" t="n">
        <v>135714.285714286</v>
      </c>
      <c r="N43" s="7" t="n">
        <f aca="false">+M43*19%</f>
        <v>25785.7142857143</v>
      </c>
      <c r="O43" s="7" t="n">
        <f aca="false">+M43+N43</f>
        <v>161500</v>
      </c>
    </row>
    <row r="44" customFormat="false" ht="15" hidden="false" customHeight="true" outlineLevel="0" collapsed="false">
      <c r="A44" s="4" t="s">
        <v>134</v>
      </c>
      <c r="B44" s="13" t="s">
        <v>135</v>
      </c>
      <c r="C44" s="13" t="s">
        <v>136</v>
      </c>
      <c r="D44" s="13" t="s">
        <v>137</v>
      </c>
      <c r="E44" s="10"/>
      <c r="F44" s="13" t="s">
        <v>138</v>
      </c>
      <c r="G44" s="6" t="n">
        <v>95000</v>
      </c>
      <c r="H44" s="6" t="n">
        <f aca="false">+G44*19%</f>
        <v>18050</v>
      </c>
      <c r="I44" s="6" t="n">
        <f aca="false">+G44+H44</f>
        <v>113050</v>
      </c>
      <c r="J44" s="7" t="n">
        <v>95000</v>
      </c>
      <c r="K44" s="7" t="n">
        <f aca="false">+J44*19%</f>
        <v>18050</v>
      </c>
      <c r="L44" s="7" t="n">
        <f aca="false">+J44+K44</f>
        <v>113050</v>
      </c>
      <c r="M44" s="7" t="n">
        <v>182875</v>
      </c>
      <c r="N44" s="7" t="n">
        <f aca="false">+M44*19%</f>
        <v>34746.25</v>
      </c>
      <c r="O44" s="7" t="n">
        <f aca="false">+M44+N44</f>
        <v>217621.25</v>
      </c>
    </row>
    <row r="45" customFormat="false" ht="15" hidden="false" customHeight="true" outlineLevel="0" collapsed="false">
      <c r="A45" s="4" t="s">
        <v>139</v>
      </c>
      <c r="B45" s="13" t="s">
        <v>131</v>
      </c>
      <c r="C45" s="13" t="s">
        <v>140</v>
      </c>
      <c r="D45" s="13" t="s">
        <v>141</v>
      </c>
      <c r="E45" s="10"/>
      <c r="F45" s="13" t="s">
        <v>142</v>
      </c>
      <c r="G45" s="6" t="n">
        <v>85000</v>
      </c>
      <c r="H45" s="6" t="n">
        <f aca="false">+G45*19%</f>
        <v>16150</v>
      </c>
      <c r="I45" s="6" t="n">
        <f aca="false">+G45+H45</f>
        <v>101150</v>
      </c>
      <c r="J45" s="7" t="n">
        <v>95000</v>
      </c>
      <c r="K45" s="7" t="n">
        <f aca="false">+J45*19%</f>
        <v>18050</v>
      </c>
      <c r="L45" s="7" t="n">
        <f aca="false">+J45+K45</f>
        <v>113050</v>
      </c>
      <c r="M45" s="7" t="n">
        <v>182875</v>
      </c>
      <c r="N45" s="7" t="n">
        <f aca="false">+M45*19%</f>
        <v>34746.25</v>
      </c>
      <c r="O45" s="7" t="n">
        <f aca="false">+M45+N45</f>
        <v>217621.25</v>
      </c>
    </row>
    <row r="46" customFormat="false" ht="15" hidden="false" customHeight="true" outlineLevel="0" collapsed="false">
      <c r="A46" s="4" t="s">
        <v>143</v>
      </c>
      <c r="B46" s="13" t="s">
        <v>144</v>
      </c>
      <c r="C46" s="13" t="s">
        <v>145</v>
      </c>
      <c r="D46" s="13" t="s">
        <v>146</v>
      </c>
      <c r="E46" s="10"/>
      <c r="F46" s="13" t="s">
        <v>147</v>
      </c>
      <c r="G46" s="6" t="n">
        <v>80000</v>
      </c>
      <c r="H46" s="6" t="n">
        <f aca="false">+G46*19%</f>
        <v>15200</v>
      </c>
      <c r="I46" s="6" t="n">
        <f aca="false">+G46+H46</f>
        <v>95200</v>
      </c>
      <c r="J46" s="7" t="n">
        <v>80000</v>
      </c>
      <c r="K46" s="7" t="n">
        <f aca="false">+J46*19%</f>
        <v>15200</v>
      </c>
      <c r="L46" s="7" t="n">
        <f aca="false">+J46+K46</f>
        <v>95200</v>
      </c>
      <c r="M46" s="7" t="n">
        <v>174606</v>
      </c>
      <c r="N46" s="7" t="n">
        <f aca="false">+M46*19%</f>
        <v>33175.14</v>
      </c>
      <c r="O46" s="7" t="n">
        <f aca="false">+M46+N46</f>
        <v>207781.14</v>
      </c>
    </row>
    <row r="47" customFormat="false" ht="15" hidden="false" customHeight="true" outlineLevel="0" collapsed="false">
      <c r="A47" s="4" t="s">
        <v>143</v>
      </c>
      <c r="B47" s="13" t="s">
        <v>148</v>
      </c>
      <c r="C47" s="13" t="s">
        <v>149</v>
      </c>
      <c r="D47" s="13" t="s">
        <v>150</v>
      </c>
      <c r="E47" s="10"/>
      <c r="F47" s="13" t="s">
        <v>151</v>
      </c>
      <c r="G47" s="6" t="n">
        <v>80000</v>
      </c>
      <c r="H47" s="6" t="n">
        <f aca="false">+G47*19%</f>
        <v>15200</v>
      </c>
      <c r="I47" s="6" t="n">
        <f aca="false">+G47+H47</f>
        <v>95200</v>
      </c>
      <c r="J47" s="7" t="n">
        <v>60000</v>
      </c>
      <c r="K47" s="7" t="n">
        <f aca="false">+J47*19%</f>
        <v>11400</v>
      </c>
      <c r="L47" s="7" t="n">
        <f aca="false">+J47+K47</f>
        <v>71400</v>
      </c>
      <c r="M47" s="7" t="n">
        <v>141056</v>
      </c>
      <c r="N47" s="7" t="n">
        <f aca="false">+M47*19%</f>
        <v>26800.64</v>
      </c>
      <c r="O47" s="7" t="n">
        <f aca="false">+M47+N47</f>
        <v>167856.64</v>
      </c>
    </row>
    <row r="48" customFormat="false" ht="15" hidden="false" customHeight="true" outlineLevel="0" collapsed="false">
      <c r="A48" s="4" t="s">
        <v>143</v>
      </c>
      <c r="B48" s="13" t="s">
        <v>152</v>
      </c>
      <c r="C48" s="13" t="s">
        <v>149</v>
      </c>
      <c r="D48" s="13" t="s">
        <v>153</v>
      </c>
      <c r="E48" s="10"/>
      <c r="F48" s="13" t="s">
        <v>154</v>
      </c>
      <c r="G48" s="6" t="n">
        <v>80000</v>
      </c>
      <c r="H48" s="6" t="n">
        <f aca="false">+G48*19%</f>
        <v>15200</v>
      </c>
      <c r="I48" s="6" t="n">
        <f aca="false">+G48+H48</f>
        <v>95200</v>
      </c>
      <c r="J48" s="7" t="n">
        <v>60000</v>
      </c>
      <c r="K48" s="7" t="n">
        <f aca="false">+J48*19%</f>
        <v>11400</v>
      </c>
      <c r="L48" s="7" t="n">
        <f aca="false">+J48+K48</f>
        <v>71400</v>
      </c>
      <c r="M48" s="11" t="n">
        <v>141056</v>
      </c>
      <c r="N48" s="7" t="n">
        <f aca="false">+M48*19%</f>
        <v>26800.64</v>
      </c>
      <c r="O48" s="7" t="n">
        <f aca="false">+M48+N48</f>
        <v>167856.64</v>
      </c>
    </row>
    <row r="49" customFormat="false" ht="15" hidden="false" customHeight="true" outlineLevel="0" collapsed="false">
      <c r="A49" s="4" t="s">
        <v>155</v>
      </c>
      <c r="B49" s="13" t="s">
        <v>131</v>
      </c>
      <c r="C49" s="13" t="s">
        <v>156</v>
      </c>
      <c r="D49" s="13" t="s">
        <v>157</v>
      </c>
      <c r="E49" s="10"/>
      <c r="F49" s="13" t="s">
        <v>87</v>
      </c>
      <c r="G49" s="6" t="n">
        <v>75000</v>
      </c>
      <c r="H49" s="6" t="n">
        <f aca="false">+G49*19%</f>
        <v>14250</v>
      </c>
      <c r="I49" s="6" t="n">
        <f aca="false">+G49+H49</f>
        <v>89250</v>
      </c>
      <c r="J49" s="7" t="n">
        <v>75000</v>
      </c>
      <c r="K49" s="7" t="n">
        <f aca="false">+J49*19%</f>
        <v>14250</v>
      </c>
      <c r="L49" s="7" t="n">
        <f aca="false">+J49+K49</f>
        <v>89250</v>
      </c>
      <c r="M49" s="7" t="n">
        <v>194375</v>
      </c>
      <c r="N49" s="7" t="n">
        <f aca="false">+M49*19%</f>
        <v>36931.25</v>
      </c>
      <c r="O49" s="7" t="n">
        <f aca="false">+M49+N49</f>
        <v>231306.25</v>
      </c>
    </row>
    <row r="50" customFormat="false" ht="14.25" hidden="false" customHeight="false" outlineLevel="0" collapsed="false">
      <c r="A50" s="4" t="s">
        <v>158</v>
      </c>
      <c r="B50" s="5" t="s">
        <v>159</v>
      </c>
      <c r="C50" s="5"/>
      <c r="D50" s="5"/>
      <c r="E50" s="5" t="s">
        <v>160</v>
      </c>
      <c r="F50" s="5" t="s">
        <v>30</v>
      </c>
      <c r="G50" s="6" t="n">
        <v>320000</v>
      </c>
      <c r="H50" s="6" t="n">
        <f aca="false">+G50*19%</f>
        <v>60800</v>
      </c>
      <c r="I50" s="6" t="n">
        <f aca="false">+G50+H50</f>
        <v>380800</v>
      </c>
      <c r="J50" s="7" t="n">
        <v>320000</v>
      </c>
      <c r="K50" s="7" t="n">
        <f aca="false">+J50*19%</f>
        <v>60800</v>
      </c>
      <c r="L50" s="7" t="n">
        <f aca="false">+J50+K50</f>
        <v>380800</v>
      </c>
      <c r="M50" s="7" t="n">
        <v>586666.666666667</v>
      </c>
      <c r="N50" s="7" t="n">
        <f aca="false">+M50*19%</f>
        <v>111466.666666667</v>
      </c>
      <c r="O50" s="7" t="n">
        <f aca="false">+M50+N50</f>
        <v>698133.333333334</v>
      </c>
    </row>
    <row r="51" customFormat="false" ht="14.25" hidden="false" customHeight="false" outlineLevel="0" collapsed="false">
      <c r="A51" s="4" t="s">
        <v>161</v>
      </c>
      <c r="B51" s="5" t="s">
        <v>162</v>
      </c>
      <c r="C51" s="5" t="s">
        <v>163</v>
      </c>
      <c r="D51" s="5" t="n">
        <v>900000148</v>
      </c>
      <c r="E51" s="5" t="s">
        <v>164</v>
      </c>
      <c r="F51" s="5" t="s">
        <v>18</v>
      </c>
      <c r="G51" s="6" t="n">
        <v>95000</v>
      </c>
      <c r="H51" s="6" t="n">
        <f aca="false">+G51*19%</f>
        <v>18050</v>
      </c>
      <c r="I51" s="6" t="n">
        <f aca="false">+G51+H51</f>
        <v>113050</v>
      </c>
      <c r="J51" s="7" t="n">
        <v>95000</v>
      </c>
      <c r="K51" s="7" t="n">
        <f aca="false">+J51*19%</f>
        <v>18050</v>
      </c>
      <c r="L51" s="7" t="n">
        <f aca="false">+J51+K51</f>
        <v>113050</v>
      </c>
      <c r="M51" s="7" t="n">
        <v>174166.666666667</v>
      </c>
      <c r="N51" s="7" t="n">
        <f aca="false">+M51*19%</f>
        <v>33091.6666666667</v>
      </c>
      <c r="O51" s="7" t="n">
        <f aca="false">+M51+N51</f>
        <v>207258.333333334</v>
      </c>
    </row>
    <row r="52" customFormat="false" ht="15.65" hidden="false" customHeight="false" outlineLevel="0" collapsed="false">
      <c r="A52" s="4" t="s">
        <v>165</v>
      </c>
      <c r="B52" s="8" t="s">
        <v>166</v>
      </c>
      <c r="C52" s="9"/>
      <c r="D52" s="9"/>
      <c r="E52" s="10"/>
      <c r="F52" s="9" t="s">
        <v>87</v>
      </c>
      <c r="G52" s="6" t="n">
        <v>70000</v>
      </c>
      <c r="H52" s="6" t="n">
        <f aca="false">+G52*19%</f>
        <v>13300</v>
      </c>
      <c r="I52" s="6" t="n">
        <f aca="false">+G52+H52</f>
        <v>83300</v>
      </c>
      <c r="J52" s="7" t="n">
        <v>70000</v>
      </c>
      <c r="K52" s="7" t="n">
        <f aca="false">+J52*19%</f>
        <v>13300</v>
      </c>
      <c r="L52" s="7" t="n">
        <f aca="false">+J52+K52</f>
        <v>83300</v>
      </c>
      <c r="M52" s="11" t="n">
        <v>85714</v>
      </c>
      <c r="N52" s="7" t="n">
        <f aca="false">+M52*19%</f>
        <v>16285.66</v>
      </c>
      <c r="O52" s="7" t="n">
        <f aca="false">+M52+N52</f>
        <v>101999.66</v>
      </c>
    </row>
    <row r="53" customFormat="false" ht="15" hidden="false" customHeight="true" outlineLevel="0" collapsed="false">
      <c r="A53" s="4" t="s">
        <v>165</v>
      </c>
      <c r="B53" s="13" t="s">
        <v>167</v>
      </c>
      <c r="C53" s="9"/>
      <c r="D53" s="9"/>
      <c r="E53" s="10"/>
      <c r="F53" s="9" t="s">
        <v>87</v>
      </c>
      <c r="G53" s="6" t="n">
        <v>70000</v>
      </c>
      <c r="H53" s="6" t="n">
        <f aca="false">+G53*19%</f>
        <v>13300</v>
      </c>
      <c r="I53" s="6" t="n">
        <f aca="false">+G53+H53</f>
        <v>83300</v>
      </c>
      <c r="J53" s="7" t="n">
        <v>70000</v>
      </c>
      <c r="K53" s="7" t="n">
        <f aca="false">+J53*19%</f>
        <v>13300</v>
      </c>
      <c r="L53" s="7" t="n">
        <f aca="false">+J53+K53</f>
        <v>83300</v>
      </c>
      <c r="M53" s="11" t="n">
        <v>85714</v>
      </c>
      <c r="N53" s="7" t="n">
        <f aca="false">+M53*19%</f>
        <v>16285.66</v>
      </c>
      <c r="O53" s="7" t="n">
        <f aca="false">+M53+N53</f>
        <v>101999.66</v>
      </c>
    </row>
    <row r="54" customFormat="false" ht="15.65" hidden="false" customHeight="false" outlineLevel="0" collapsed="false">
      <c r="A54" s="4" t="s">
        <v>165</v>
      </c>
      <c r="B54" s="8" t="s">
        <v>168</v>
      </c>
      <c r="C54" s="9" t="s">
        <v>169</v>
      </c>
      <c r="D54" s="9"/>
      <c r="E54" s="10"/>
      <c r="F54" s="9"/>
      <c r="G54" s="6" t="n">
        <v>70000</v>
      </c>
      <c r="H54" s="6" t="n">
        <f aca="false">+G54*19%</f>
        <v>13300</v>
      </c>
      <c r="I54" s="6" t="n">
        <f aca="false">+G54+H54</f>
        <v>83300</v>
      </c>
      <c r="J54" s="7" t="n">
        <v>60000</v>
      </c>
      <c r="K54" s="7" t="n">
        <f aca="false">+J54*19%</f>
        <v>11400</v>
      </c>
      <c r="L54" s="7" t="n">
        <f aca="false">+J54+K54</f>
        <v>71400</v>
      </c>
      <c r="M54" s="7" t="n">
        <v>85714</v>
      </c>
      <c r="N54" s="7" t="n">
        <f aca="false">+M54*19%</f>
        <v>16285.66</v>
      </c>
      <c r="O54" s="7" t="n">
        <f aca="false">+M54+N54</f>
        <v>101999.66</v>
      </c>
    </row>
    <row r="55" customFormat="false" ht="14.25" hidden="false" customHeight="false" outlineLevel="0" collapsed="false">
      <c r="A55" s="4" t="s">
        <v>170</v>
      </c>
      <c r="B55" s="21" t="s">
        <v>168</v>
      </c>
      <c r="C55" s="21" t="s">
        <v>171</v>
      </c>
      <c r="D55" s="22"/>
      <c r="E55" s="10"/>
      <c r="F55" s="21" t="s">
        <v>55</v>
      </c>
      <c r="G55" s="6" t="n">
        <v>60000</v>
      </c>
      <c r="H55" s="6" t="n">
        <f aca="false">+G55*19%</f>
        <v>11400</v>
      </c>
      <c r="I55" s="6" t="n">
        <f aca="false">+G55+H55</f>
        <v>71400</v>
      </c>
      <c r="J55" s="7" t="n">
        <v>60000</v>
      </c>
      <c r="K55" s="7" t="n">
        <f aca="false">+J55*19%</f>
        <v>11400</v>
      </c>
      <c r="L55" s="7" t="n">
        <f aca="false">+J55+K55</f>
        <v>71400</v>
      </c>
      <c r="M55" s="7" t="n">
        <v>85714</v>
      </c>
      <c r="N55" s="7" t="n">
        <f aca="false">+M55*19%</f>
        <v>16285.66</v>
      </c>
      <c r="O55" s="7" t="n">
        <f aca="false">+M55+N55</f>
        <v>101999.66</v>
      </c>
    </row>
    <row r="56" customFormat="false" ht="14.25" hidden="false" customHeight="false" outlineLevel="0" collapsed="false">
      <c r="A56" s="4" t="s">
        <v>170</v>
      </c>
      <c r="B56" s="21" t="s">
        <v>172</v>
      </c>
      <c r="C56" s="21" t="s">
        <v>173</v>
      </c>
      <c r="D56" s="22"/>
      <c r="E56" s="10"/>
      <c r="F56" s="21" t="s">
        <v>53</v>
      </c>
      <c r="G56" s="6" t="n">
        <v>60000</v>
      </c>
      <c r="H56" s="6" t="n">
        <f aca="false">+G56*19%</f>
        <v>11400</v>
      </c>
      <c r="I56" s="6" t="n">
        <f aca="false">+G56+H56</f>
        <v>71400</v>
      </c>
      <c r="J56" s="7" t="n">
        <v>60000</v>
      </c>
      <c r="K56" s="7" t="n">
        <f aca="false">+J56*19%</f>
        <v>11400</v>
      </c>
      <c r="L56" s="7" t="n">
        <f aca="false">+J56+K56</f>
        <v>71400</v>
      </c>
      <c r="M56" s="7" t="n">
        <v>85714</v>
      </c>
      <c r="N56" s="7" t="n">
        <f aca="false">+M56*19%</f>
        <v>16285.66</v>
      </c>
      <c r="O56" s="7" t="n">
        <f aca="false">+M56+N56</f>
        <v>101999.66</v>
      </c>
    </row>
    <row r="57" customFormat="false" ht="28.5" hidden="false" customHeight="true" outlineLevel="0" collapsed="false">
      <c r="A57" s="4" t="s">
        <v>174</v>
      </c>
      <c r="B57" s="8" t="s">
        <v>175</v>
      </c>
      <c r="C57" s="9"/>
      <c r="D57" s="9"/>
      <c r="E57" s="10"/>
      <c r="F57" s="13" t="s">
        <v>154</v>
      </c>
      <c r="G57" s="6" t="n">
        <v>55000</v>
      </c>
      <c r="H57" s="6" t="n">
        <f aca="false">+G57*19%</f>
        <v>10450</v>
      </c>
      <c r="I57" s="6" t="n">
        <f aca="false">+G57+H57</f>
        <v>65450</v>
      </c>
      <c r="J57" s="12"/>
      <c r="K57" s="12" t="n">
        <f aca="false">+J57*19%</f>
        <v>0</v>
      </c>
      <c r="L57" s="12" t="n">
        <f aca="false">+J57+K57</f>
        <v>0</v>
      </c>
      <c r="M57" s="12"/>
      <c r="N57" s="12" t="n">
        <f aca="false">+M57*19%</f>
        <v>0</v>
      </c>
      <c r="O57" s="12" t="n">
        <f aca="false">+M57+N57</f>
        <v>0</v>
      </c>
    </row>
    <row r="58" customFormat="false" ht="15" hidden="false" customHeight="true" outlineLevel="0" collapsed="false">
      <c r="A58" s="4" t="s">
        <v>176</v>
      </c>
      <c r="B58" s="10" t="s">
        <v>16</v>
      </c>
      <c r="C58" s="10" t="n">
        <v>2030</v>
      </c>
      <c r="D58" s="13"/>
      <c r="E58" s="10"/>
      <c r="F58" s="13" t="s">
        <v>177</v>
      </c>
      <c r="G58" s="6" t="n">
        <v>85000</v>
      </c>
      <c r="H58" s="6" t="n">
        <f aca="false">+G58*19%</f>
        <v>16150</v>
      </c>
      <c r="I58" s="6" t="n">
        <f aca="false">+G58+H58</f>
        <v>101150</v>
      </c>
      <c r="J58" s="11" t="n">
        <v>95000</v>
      </c>
      <c r="K58" s="7" t="n">
        <f aca="false">+J58*19%</f>
        <v>18050</v>
      </c>
      <c r="L58" s="7" t="n">
        <f aca="false">+J58+K58</f>
        <v>113050</v>
      </c>
      <c r="M58" s="12"/>
      <c r="N58" s="12" t="n">
        <f aca="false">+M58*19%</f>
        <v>0</v>
      </c>
      <c r="O58" s="12" t="n">
        <f aca="false">+M58+N58</f>
        <v>0</v>
      </c>
    </row>
    <row r="59" customFormat="false" ht="14.25" hidden="false" customHeight="false" outlineLevel="0" collapsed="false">
      <c r="A59" s="4" t="s">
        <v>178</v>
      </c>
      <c r="B59" s="5" t="s">
        <v>81</v>
      </c>
      <c r="C59" s="5"/>
      <c r="D59" s="5"/>
      <c r="E59" s="10"/>
      <c r="F59" s="5" t="s">
        <v>18</v>
      </c>
      <c r="G59" s="6" t="n">
        <v>95000</v>
      </c>
      <c r="H59" s="6" t="n">
        <f aca="false">+G59*19%</f>
        <v>18050</v>
      </c>
      <c r="I59" s="6" t="n">
        <f aca="false">+G59+H59</f>
        <v>113050</v>
      </c>
      <c r="J59" s="7" t="n">
        <v>95000</v>
      </c>
      <c r="K59" s="7" t="n">
        <f aca="false">+J59*19%</f>
        <v>18050</v>
      </c>
      <c r="L59" s="7" t="n">
        <f aca="false">+J59+K59</f>
        <v>113050</v>
      </c>
      <c r="M59" s="12"/>
      <c r="N59" s="12" t="n">
        <f aca="false">+M59*19%</f>
        <v>0</v>
      </c>
      <c r="O59" s="12" t="n">
        <f aca="false">+M59+N59</f>
        <v>0</v>
      </c>
    </row>
    <row r="60" customFormat="false" ht="15" hidden="false" customHeight="true" outlineLevel="0" collapsed="false">
      <c r="A60" s="4" t="s">
        <v>179</v>
      </c>
      <c r="B60" s="13" t="s">
        <v>180</v>
      </c>
      <c r="C60" s="13" t="s">
        <v>181</v>
      </c>
      <c r="D60" s="13" t="s">
        <v>182</v>
      </c>
      <c r="E60" s="10"/>
      <c r="F60" s="13" t="s">
        <v>138</v>
      </c>
      <c r="G60" s="6" t="n">
        <v>70000</v>
      </c>
      <c r="H60" s="6" t="n">
        <f aca="false">+G60*19%</f>
        <v>13300</v>
      </c>
      <c r="I60" s="6" t="n">
        <f aca="false">+G60+H60</f>
        <v>83300</v>
      </c>
      <c r="J60" s="7" t="n">
        <v>70000</v>
      </c>
      <c r="K60" s="7" t="n">
        <f aca="false">+J60*19%</f>
        <v>13300</v>
      </c>
      <c r="L60" s="7" t="n">
        <f aca="false">+J60+K60</f>
        <v>83300</v>
      </c>
      <c r="M60" s="7" t="n">
        <v>164750</v>
      </c>
      <c r="N60" s="7" t="n">
        <f aca="false">+M60*19%</f>
        <v>31302.5</v>
      </c>
      <c r="O60" s="7" t="n">
        <f aca="false">+M60+N60</f>
        <v>196052.5</v>
      </c>
    </row>
    <row r="61" customFormat="false" ht="15" hidden="false" customHeight="true" outlineLevel="0" collapsed="false">
      <c r="A61" s="4" t="s">
        <v>183</v>
      </c>
      <c r="B61" s="5" t="s">
        <v>184</v>
      </c>
      <c r="C61" s="5" t="s">
        <v>185</v>
      </c>
      <c r="D61" s="20" t="s">
        <v>186</v>
      </c>
      <c r="E61" s="16" t="s">
        <v>187</v>
      </c>
      <c r="F61" s="5" t="s">
        <v>30</v>
      </c>
      <c r="G61" s="6" t="n">
        <v>95000</v>
      </c>
      <c r="H61" s="6" t="n">
        <f aca="false">+G61*19%</f>
        <v>18050</v>
      </c>
      <c r="I61" s="6" t="n">
        <f aca="false">+G61+H61</f>
        <v>113050</v>
      </c>
      <c r="J61" s="7" t="n">
        <v>85000</v>
      </c>
      <c r="K61" s="7" t="n">
        <f aca="false">+J61*19%</f>
        <v>16150</v>
      </c>
      <c r="L61" s="7" t="n">
        <f aca="false">+J61+K61</f>
        <v>101150</v>
      </c>
      <c r="M61" s="7" t="n">
        <v>197500</v>
      </c>
      <c r="N61" s="7" t="n">
        <f aca="false">+M61*19%</f>
        <v>37525</v>
      </c>
      <c r="O61" s="7" t="n">
        <f aca="false">+M61+N61</f>
        <v>235025</v>
      </c>
    </row>
    <row r="62" customFormat="false" ht="14.25" hidden="false" customHeight="false" outlineLevel="0" collapsed="false">
      <c r="A62" s="4" t="s">
        <v>188</v>
      </c>
      <c r="B62" s="5" t="s">
        <v>189</v>
      </c>
      <c r="C62" s="5" t="s">
        <v>190</v>
      </c>
      <c r="D62" s="5"/>
      <c r="E62" s="5" t="s">
        <v>187</v>
      </c>
      <c r="F62" s="5" t="s">
        <v>115</v>
      </c>
      <c r="G62" s="6" t="n">
        <v>85000</v>
      </c>
      <c r="H62" s="6" t="n">
        <f aca="false">+G62*19%</f>
        <v>16150</v>
      </c>
      <c r="I62" s="6" t="n">
        <f aca="false">+G62+H62</f>
        <v>101150</v>
      </c>
      <c r="J62" s="7" t="n">
        <v>85000</v>
      </c>
      <c r="K62" s="7" t="n">
        <f aca="false">+J62*19%</f>
        <v>16150</v>
      </c>
      <c r="L62" s="7" t="n">
        <f aca="false">+J62+K62</f>
        <v>101150</v>
      </c>
      <c r="M62" s="7" t="n">
        <v>155833.333333333</v>
      </c>
      <c r="N62" s="7" t="n">
        <f aca="false">+M62*19%</f>
        <v>29608.3333333333</v>
      </c>
      <c r="O62" s="7" t="n">
        <f aca="false">+M62+N62</f>
        <v>185441.666666666</v>
      </c>
    </row>
    <row r="63" customFormat="false" ht="14.25" hidden="false" customHeight="false" outlineLevel="0" collapsed="false">
      <c r="A63" s="4" t="s">
        <v>191</v>
      </c>
      <c r="B63" s="5" t="s">
        <v>192</v>
      </c>
      <c r="C63" s="5" t="s">
        <v>190</v>
      </c>
      <c r="D63" s="5" t="s">
        <v>193</v>
      </c>
      <c r="E63" s="5" t="s">
        <v>187</v>
      </c>
      <c r="F63" s="5" t="s">
        <v>30</v>
      </c>
      <c r="G63" s="6" t="n">
        <v>65000</v>
      </c>
      <c r="H63" s="6" t="n">
        <f aca="false">+G63*19%</f>
        <v>12350</v>
      </c>
      <c r="I63" s="6" t="n">
        <f aca="false">+G63+H63</f>
        <v>77350</v>
      </c>
      <c r="J63" s="7" t="n">
        <v>65000</v>
      </c>
      <c r="K63" s="7" t="n">
        <f aca="false">+J63*19%</f>
        <v>12350</v>
      </c>
      <c r="L63" s="7" t="n">
        <f aca="false">+J63+K63</f>
        <v>77350</v>
      </c>
      <c r="M63" s="7" t="n">
        <v>155833.333333333</v>
      </c>
      <c r="N63" s="7" t="n">
        <f aca="false">+M63*19%</f>
        <v>29608.3333333333</v>
      </c>
      <c r="O63" s="7" t="n">
        <f aca="false">+M63+N63</f>
        <v>185441.666666666</v>
      </c>
    </row>
    <row r="64" customFormat="false" ht="14.25" hidden="false" customHeight="false" outlineLevel="0" collapsed="false">
      <c r="A64" s="4" t="s">
        <v>194</v>
      </c>
      <c r="B64" s="5" t="s">
        <v>167</v>
      </c>
      <c r="C64" s="10" t="s">
        <v>195</v>
      </c>
      <c r="D64" s="5" t="n">
        <v>901067</v>
      </c>
      <c r="E64" s="5" t="s">
        <v>196</v>
      </c>
      <c r="F64" s="5" t="s">
        <v>18</v>
      </c>
      <c r="G64" s="6" t="n">
        <v>95000</v>
      </c>
      <c r="H64" s="6" t="n">
        <f aca="false">+G64*19%</f>
        <v>18050</v>
      </c>
      <c r="I64" s="6" t="n">
        <f aca="false">+G64+H64</f>
        <v>113050</v>
      </c>
      <c r="J64" s="11" t="n">
        <v>95000</v>
      </c>
      <c r="K64" s="7" t="n">
        <f aca="false">+J64*19%</f>
        <v>18050</v>
      </c>
      <c r="L64" s="7" t="n">
        <f aca="false">+J64+K64</f>
        <v>113050</v>
      </c>
      <c r="M64" s="7" t="n">
        <v>256666.666666667</v>
      </c>
      <c r="N64" s="7" t="n">
        <f aca="false">+M64*19%</f>
        <v>48766.6666666667</v>
      </c>
      <c r="O64" s="7" t="n">
        <f aca="false">+M64+N64</f>
        <v>305433.333333334</v>
      </c>
    </row>
    <row r="65" customFormat="false" ht="15.65" hidden="false" customHeight="false" outlineLevel="0" collapsed="false">
      <c r="A65" s="4" t="s">
        <v>197</v>
      </c>
      <c r="B65" s="8" t="s">
        <v>198</v>
      </c>
      <c r="C65" s="9"/>
      <c r="D65" s="9"/>
      <c r="E65" s="10"/>
      <c r="F65" s="9"/>
      <c r="G65" s="6" t="n">
        <v>55000</v>
      </c>
      <c r="H65" s="6" t="n">
        <f aca="false">+G65*19%</f>
        <v>10450</v>
      </c>
      <c r="I65" s="6" t="n">
        <f aca="false">+G65+H65</f>
        <v>65450</v>
      </c>
      <c r="J65" s="12"/>
      <c r="K65" s="12" t="n">
        <f aca="false">+J65*19%</f>
        <v>0</v>
      </c>
      <c r="L65" s="12" t="n">
        <f aca="false">+J65+K65</f>
        <v>0</v>
      </c>
      <c r="M65" s="12"/>
      <c r="N65" s="12" t="n">
        <f aca="false">+M65*19%</f>
        <v>0</v>
      </c>
      <c r="O65" s="12" t="n">
        <f aca="false">+M65+N65</f>
        <v>0</v>
      </c>
    </row>
    <row r="66" customFormat="false" ht="14.25" hidden="false" customHeight="false" outlineLevel="0" collapsed="false">
      <c r="A66" s="4" t="s">
        <v>199</v>
      </c>
      <c r="B66" s="5" t="s">
        <v>200</v>
      </c>
      <c r="C66" s="5"/>
      <c r="D66" s="5"/>
      <c r="E66" s="5"/>
      <c r="F66" s="5" t="s">
        <v>18</v>
      </c>
      <c r="G66" s="6" t="n">
        <v>55000</v>
      </c>
      <c r="H66" s="6" t="n">
        <f aca="false">+G66*19%</f>
        <v>10450</v>
      </c>
      <c r="I66" s="6" t="n">
        <f aca="false">+G66+H66</f>
        <v>65450</v>
      </c>
      <c r="J66" s="12"/>
      <c r="K66" s="12" t="n">
        <f aca="false">+J66*19%</f>
        <v>0</v>
      </c>
      <c r="L66" s="12" t="n">
        <f aca="false">+J66+K66</f>
        <v>0</v>
      </c>
      <c r="M66" s="12"/>
      <c r="N66" s="12" t="n">
        <f aca="false">+M66*19%</f>
        <v>0</v>
      </c>
      <c r="O66" s="12" t="n">
        <f aca="false">+M66+N66</f>
        <v>0</v>
      </c>
    </row>
    <row r="67" customFormat="false" ht="14.25" hidden="false" customHeight="false" outlineLevel="0" collapsed="false">
      <c r="A67" s="4" t="s">
        <v>201</v>
      </c>
      <c r="B67" s="10" t="s">
        <v>184</v>
      </c>
      <c r="C67" s="10" t="s">
        <v>202</v>
      </c>
      <c r="D67" s="9"/>
      <c r="E67" s="10"/>
      <c r="F67" s="9"/>
      <c r="G67" s="6" t="n">
        <v>60000</v>
      </c>
      <c r="H67" s="6" t="n">
        <f aca="false">+G67*19%</f>
        <v>11400</v>
      </c>
      <c r="I67" s="6" t="n">
        <f aca="false">+G67+H67</f>
        <v>71400</v>
      </c>
      <c r="J67" s="7" t="n">
        <v>60000</v>
      </c>
      <c r="K67" s="7" t="n">
        <f aca="false">+J67*19%</f>
        <v>11400</v>
      </c>
      <c r="L67" s="7" t="n">
        <f aca="false">+J67+K67</f>
        <v>71400</v>
      </c>
      <c r="M67" s="7" t="n">
        <v>142588</v>
      </c>
      <c r="N67" s="7" t="n">
        <f aca="false">+M67*19%</f>
        <v>27091.72</v>
      </c>
      <c r="O67" s="7" t="n">
        <f aca="false">+M67+N67</f>
        <v>169679.72</v>
      </c>
    </row>
    <row r="68" customFormat="false" ht="14.25" hidden="false" customHeight="false" outlineLevel="0" collapsed="false">
      <c r="A68" s="4" t="s">
        <v>203</v>
      </c>
      <c r="B68" s="17" t="s">
        <v>204</v>
      </c>
      <c r="C68" s="18" t="n">
        <v>2119</v>
      </c>
      <c r="D68" s="17" t="s">
        <v>204</v>
      </c>
      <c r="E68" s="10"/>
      <c r="F68" s="18" t="s">
        <v>18</v>
      </c>
      <c r="G68" s="6" t="n">
        <v>65000</v>
      </c>
      <c r="H68" s="6" t="n">
        <f aca="false">+G68*19%</f>
        <v>12350</v>
      </c>
      <c r="I68" s="6" t="n">
        <f aca="false">+G68+H68</f>
        <v>77350</v>
      </c>
      <c r="J68" s="7" t="n">
        <v>65000</v>
      </c>
      <c r="K68" s="7" t="n">
        <f aca="false">+J68*19%</f>
        <v>12350</v>
      </c>
      <c r="L68" s="7" t="n">
        <f aca="false">+J68+K68</f>
        <v>77350</v>
      </c>
      <c r="M68" s="7" t="n">
        <v>92857.1428571429</v>
      </c>
      <c r="N68" s="7" t="n">
        <f aca="false">+M68*19%</f>
        <v>17642.8571428572</v>
      </c>
      <c r="O68" s="7" t="n">
        <f aca="false">+M68+N68</f>
        <v>110500</v>
      </c>
    </row>
    <row r="69" customFormat="false" ht="15" hidden="false" customHeight="true" outlineLevel="0" collapsed="false">
      <c r="A69" s="4" t="s">
        <v>205</v>
      </c>
      <c r="B69" s="13" t="s">
        <v>131</v>
      </c>
      <c r="C69" s="13" t="s">
        <v>206</v>
      </c>
      <c r="D69" s="13" t="s">
        <v>207</v>
      </c>
      <c r="E69" s="10"/>
      <c r="F69" s="13" t="s">
        <v>87</v>
      </c>
      <c r="G69" s="6" t="n">
        <v>75000</v>
      </c>
      <c r="H69" s="6" t="n">
        <f aca="false">+G69*19%</f>
        <v>14250</v>
      </c>
      <c r="I69" s="6" t="n">
        <f aca="false">+G69+H69</f>
        <v>89250</v>
      </c>
      <c r="J69" s="7" t="n">
        <v>75000</v>
      </c>
      <c r="K69" s="7" t="n">
        <f aca="false">+J69*19%</f>
        <v>14250</v>
      </c>
      <c r="L69" s="7" t="n">
        <f aca="false">+J69+K69</f>
        <v>89250</v>
      </c>
      <c r="M69" s="7" t="n">
        <v>194375</v>
      </c>
      <c r="N69" s="7" t="n">
        <f aca="false">+M69*19%</f>
        <v>36931.25</v>
      </c>
      <c r="O69" s="7" t="n">
        <f aca="false">+M69+N69</f>
        <v>231306.25</v>
      </c>
    </row>
    <row r="70" customFormat="false" ht="15" hidden="false" customHeight="true" outlineLevel="0" collapsed="false">
      <c r="A70" s="4" t="s">
        <v>205</v>
      </c>
      <c r="B70" s="13" t="s">
        <v>131</v>
      </c>
      <c r="C70" s="13" t="s">
        <v>208</v>
      </c>
      <c r="D70" s="13" t="s">
        <v>209</v>
      </c>
      <c r="E70" s="10"/>
      <c r="F70" s="13" t="s">
        <v>87</v>
      </c>
      <c r="G70" s="6" t="n">
        <v>75000</v>
      </c>
      <c r="H70" s="6" t="n">
        <f aca="false">+G70*19%</f>
        <v>14250</v>
      </c>
      <c r="I70" s="6" t="n">
        <f aca="false">+G70+H70</f>
        <v>89250</v>
      </c>
      <c r="J70" s="7" t="n">
        <v>75000</v>
      </c>
      <c r="K70" s="7" t="n">
        <f aca="false">+J70*19%</f>
        <v>14250</v>
      </c>
      <c r="L70" s="7" t="n">
        <f aca="false">+J70+K70</f>
        <v>89250</v>
      </c>
      <c r="M70" s="7" t="n">
        <v>194375</v>
      </c>
      <c r="N70" s="7" t="n">
        <f aca="false">+M70*19%</f>
        <v>36931.25</v>
      </c>
      <c r="O70" s="7" t="n">
        <f aca="false">+M70+N70</f>
        <v>231306.25</v>
      </c>
    </row>
    <row r="71" customFormat="false" ht="15" hidden="false" customHeight="true" outlineLevel="0" collapsed="false">
      <c r="A71" s="4" t="s">
        <v>205</v>
      </c>
      <c r="B71" s="13" t="s">
        <v>131</v>
      </c>
      <c r="C71" s="13" t="s">
        <v>206</v>
      </c>
      <c r="D71" s="13" t="s">
        <v>210</v>
      </c>
      <c r="E71" s="10"/>
      <c r="F71" s="13" t="s">
        <v>211</v>
      </c>
      <c r="G71" s="6" t="n">
        <v>75000</v>
      </c>
      <c r="H71" s="6" t="n">
        <f aca="false">+G71*19%</f>
        <v>14250</v>
      </c>
      <c r="I71" s="6" t="n">
        <f aca="false">+G71+H71</f>
        <v>89250</v>
      </c>
      <c r="J71" s="7" t="n">
        <v>75000</v>
      </c>
      <c r="K71" s="7" t="n">
        <f aca="false">+J71*19%</f>
        <v>14250</v>
      </c>
      <c r="L71" s="7" t="n">
        <f aca="false">+J71+K71</f>
        <v>89250</v>
      </c>
      <c r="M71" s="7" t="n">
        <v>194375</v>
      </c>
      <c r="N71" s="7" t="n">
        <f aca="false">+M71*19%</f>
        <v>36931.25</v>
      </c>
      <c r="O71" s="7" t="n">
        <f aca="false">+M71+N71</f>
        <v>231306.25</v>
      </c>
    </row>
    <row r="72" customFormat="false" ht="15" hidden="false" customHeight="true" outlineLevel="0" collapsed="false">
      <c r="A72" s="4" t="s">
        <v>205</v>
      </c>
      <c r="B72" s="13" t="s">
        <v>131</v>
      </c>
      <c r="C72" s="13" t="s">
        <v>208</v>
      </c>
      <c r="D72" s="13" t="s">
        <v>212</v>
      </c>
      <c r="E72" s="10"/>
      <c r="F72" s="13" t="s">
        <v>87</v>
      </c>
      <c r="G72" s="6" t="n">
        <v>75000</v>
      </c>
      <c r="H72" s="6" t="n">
        <f aca="false">+G72*19%</f>
        <v>14250</v>
      </c>
      <c r="I72" s="6" t="n">
        <f aca="false">+G72+H72</f>
        <v>89250</v>
      </c>
      <c r="J72" s="7" t="n">
        <v>75000</v>
      </c>
      <c r="K72" s="7" t="n">
        <f aca="false">+J72*19%</f>
        <v>14250</v>
      </c>
      <c r="L72" s="7" t="n">
        <f aca="false">+J72+K72</f>
        <v>89250</v>
      </c>
      <c r="M72" s="7" t="n">
        <v>194375</v>
      </c>
      <c r="N72" s="7" t="n">
        <f aca="false">+M72*19%</f>
        <v>36931.25</v>
      </c>
      <c r="O72" s="7" t="n">
        <f aca="false">+M72+N72</f>
        <v>231306.25</v>
      </c>
    </row>
    <row r="73" customFormat="false" ht="15" hidden="false" customHeight="true" outlineLevel="0" collapsed="false">
      <c r="A73" s="4" t="s">
        <v>205</v>
      </c>
      <c r="B73" s="13" t="s">
        <v>213</v>
      </c>
      <c r="C73" s="13" t="s">
        <v>214</v>
      </c>
      <c r="D73" s="13" t="s">
        <v>215</v>
      </c>
      <c r="E73" s="10"/>
      <c r="F73" s="13" t="s">
        <v>138</v>
      </c>
      <c r="G73" s="6" t="n">
        <v>75000</v>
      </c>
      <c r="H73" s="6" t="n">
        <f aca="false">+G73*19%</f>
        <v>14250</v>
      </c>
      <c r="I73" s="6" t="n">
        <f aca="false">+G73+H73</f>
        <v>89250</v>
      </c>
      <c r="J73" s="7" t="n">
        <v>70000</v>
      </c>
      <c r="K73" s="7" t="n">
        <f aca="false">+J73*19%</f>
        <v>13300</v>
      </c>
      <c r="L73" s="7" t="n">
        <f aca="false">+J73+K73</f>
        <v>83300</v>
      </c>
      <c r="M73" s="7" t="n">
        <v>164750</v>
      </c>
      <c r="N73" s="7" t="n">
        <f aca="false">+M73*19%</f>
        <v>31302.5</v>
      </c>
      <c r="O73" s="7" t="n">
        <f aca="false">+M73+N73</f>
        <v>196052.5</v>
      </c>
    </row>
    <row r="74" customFormat="false" ht="15" hidden="false" customHeight="true" outlineLevel="0" collapsed="false">
      <c r="A74" s="4" t="s">
        <v>216</v>
      </c>
      <c r="B74" s="13" t="s">
        <v>144</v>
      </c>
      <c r="C74" s="13" t="s">
        <v>217</v>
      </c>
      <c r="D74" s="13" t="s">
        <v>218</v>
      </c>
      <c r="E74" s="10"/>
      <c r="F74" s="13" t="s">
        <v>219</v>
      </c>
      <c r="G74" s="6" t="n">
        <v>70000</v>
      </c>
      <c r="H74" s="6" t="n">
        <f aca="false">+G74*19%</f>
        <v>13300</v>
      </c>
      <c r="I74" s="6" t="n">
        <f aca="false">+G74+H74</f>
        <v>83300</v>
      </c>
      <c r="J74" s="7" t="n">
        <v>70000</v>
      </c>
      <c r="K74" s="7" t="n">
        <f aca="false">+J74*19%</f>
        <v>13300</v>
      </c>
      <c r="L74" s="7" t="n">
        <f aca="false">+J74+K74</f>
        <v>83300</v>
      </c>
      <c r="M74" s="7" t="n">
        <v>164750</v>
      </c>
      <c r="N74" s="7" t="n">
        <f aca="false">+M74*19%</f>
        <v>31302.5</v>
      </c>
      <c r="O74" s="7" t="n">
        <f aca="false">+M74+N74</f>
        <v>196052.5</v>
      </c>
    </row>
    <row r="75" customFormat="false" ht="27" hidden="false" customHeight="true" outlineLevel="0" collapsed="false">
      <c r="A75" s="23" t="s">
        <v>220</v>
      </c>
      <c r="B75" s="24" t="s">
        <v>221</v>
      </c>
      <c r="C75" s="24" t="s">
        <v>222</v>
      </c>
      <c r="D75" s="25" t="n">
        <v>202207090803998</v>
      </c>
      <c r="E75" s="10"/>
      <c r="F75" s="26" t="s">
        <v>87</v>
      </c>
      <c r="G75" s="6" t="n">
        <v>65000</v>
      </c>
      <c r="H75" s="6" t="n">
        <f aca="false">+G75*19%</f>
        <v>12350</v>
      </c>
      <c r="I75" s="6" t="n">
        <f aca="false">+G75+H75</f>
        <v>77350</v>
      </c>
      <c r="J75" s="7" t="n">
        <v>65000</v>
      </c>
      <c r="K75" s="7" t="n">
        <f aca="false">+J75*19%</f>
        <v>12350</v>
      </c>
      <c r="L75" s="7" t="n">
        <f aca="false">+J75+K75</f>
        <v>77350</v>
      </c>
      <c r="M75" s="7" t="n">
        <v>92857</v>
      </c>
      <c r="N75" s="7" t="n">
        <f aca="false">+M75*19%</f>
        <v>17642.83</v>
      </c>
      <c r="O75" s="7" t="n">
        <f aca="false">+M75+N75</f>
        <v>110499.83</v>
      </c>
    </row>
    <row r="76" customFormat="false" ht="27" hidden="false" customHeight="true" outlineLevel="0" collapsed="false">
      <c r="A76" s="23" t="s">
        <v>220</v>
      </c>
      <c r="B76" s="24" t="s">
        <v>221</v>
      </c>
      <c r="C76" s="24" t="s">
        <v>222</v>
      </c>
      <c r="D76" s="25" t="n">
        <v>202207090803992</v>
      </c>
      <c r="E76" s="10"/>
      <c r="F76" s="26" t="s">
        <v>87</v>
      </c>
      <c r="G76" s="6" t="n">
        <v>65000</v>
      </c>
      <c r="H76" s="6" t="n">
        <f aca="false">+G76*19%</f>
        <v>12350</v>
      </c>
      <c r="I76" s="6" t="n">
        <f aca="false">+G76+H76</f>
        <v>77350</v>
      </c>
      <c r="J76" s="7" t="n">
        <v>65000</v>
      </c>
      <c r="K76" s="7" t="n">
        <f aca="false">+J76*19%</f>
        <v>12350</v>
      </c>
      <c r="L76" s="7" t="n">
        <f aca="false">+J76+K76</f>
        <v>77350</v>
      </c>
      <c r="M76" s="7" t="n">
        <v>92857</v>
      </c>
      <c r="N76" s="7" t="n">
        <f aca="false">+M76*19%</f>
        <v>17642.83</v>
      </c>
      <c r="O76" s="7" t="n">
        <f aca="false">+M76+N76</f>
        <v>110499.83</v>
      </c>
    </row>
    <row r="77" customFormat="false" ht="15" hidden="false" customHeight="true" outlineLevel="0" collapsed="false">
      <c r="A77" s="13" t="s">
        <v>223</v>
      </c>
      <c r="B77" s="13" t="s">
        <v>31</v>
      </c>
      <c r="C77" s="13" t="s">
        <v>224</v>
      </c>
      <c r="D77" s="13" t="n">
        <v>920010047</v>
      </c>
      <c r="E77" s="13"/>
      <c r="F77" s="13" t="s">
        <v>225</v>
      </c>
      <c r="G77" s="6" t="n">
        <v>130000</v>
      </c>
      <c r="H77" s="6" t="n">
        <f aca="false">+G77*19%</f>
        <v>24700</v>
      </c>
      <c r="I77" s="6" t="n">
        <f aca="false">+G77+H77</f>
        <v>154700</v>
      </c>
      <c r="J77" s="11" t="n">
        <v>120000</v>
      </c>
      <c r="K77" s="7" t="n">
        <f aca="false">+J77*19%</f>
        <v>22800</v>
      </c>
      <c r="L77" s="7" t="n">
        <f aca="false">+J77+K77</f>
        <v>142800</v>
      </c>
      <c r="M77" s="11" t="n">
        <v>200000</v>
      </c>
      <c r="N77" s="7" t="n">
        <f aca="false">+M77*19%</f>
        <v>38000</v>
      </c>
      <c r="O77" s="7" t="n">
        <f aca="false">+M77+N77</f>
        <v>238000</v>
      </c>
    </row>
    <row r="78" customFormat="false" ht="15" hidden="false" customHeight="true" outlineLevel="0" collapsed="false">
      <c r="A78" s="13" t="s">
        <v>223</v>
      </c>
      <c r="B78" s="13" t="s">
        <v>226</v>
      </c>
      <c r="C78" s="13" t="s">
        <v>227</v>
      </c>
      <c r="D78" s="13" t="s">
        <v>228</v>
      </c>
      <c r="E78" s="13"/>
      <c r="F78" s="13" t="s">
        <v>229</v>
      </c>
      <c r="G78" s="6" t="n">
        <v>950000</v>
      </c>
      <c r="H78" s="6" t="n">
        <f aca="false">+G77*19%</f>
        <v>24700</v>
      </c>
      <c r="I78" s="6" t="n">
        <f aca="false">+G77+H78</f>
        <v>154700</v>
      </c>
      <c r="J78" s="7" t="n">
        <v>130000</v>
      </c>
      <c r="K78" s="7" t="n">
        <f aca="false">+J78*19%</f>
        <v>24700</v>
      </c>
      <c r="L78" s="7" t="n">
        <f aca="false">+J78+K78</f>
        <v>154700</v>
      </c>
      <c r="M78" s="11" t="n">
        <v>214285.714285714</v>
      </c>
      <c r="N78" s="7" t="n">
        <f aca="false">+M78*19%</f>
        <v>40714.2857142857</v>
      </c>
      <c r="O78" s="7" t="n">
        <f aca="false">+M78+N78</f>
        <v>255000</v>
      </c>
    </row>
    <row r="79" customFormat="false" ht="15" hidden="false" customHeight="true" outlineLevel="0" collapsed="false">
      <c r="A79" s="4" t="s">
        <v>223</v>
      </c>
      <c r="B79" s="13" t="s">
        <v>230</v>
      </c>
      <c r="C79" s="13" t="s">
        <v>231</v>
      </c>
      <c r="D79" s="13" t="s">
        <v>232</v>
      </c>
      <c r="E79" s="10"/>
      <c r="F79" s="13" t="s">
        <v>18</v>
      </c>
      <c r="G79" s="6" t="n">
        <v>130000</v>
      </c>
      <c r="H79" s="6" t="n">
        <f aca="false">+G79*19%</f>
        <v>24700</v>
      </c>
      <c r="I79" s="6" t="n">
        <f aca="false">+G79+H79</f>
        <v>154700</v>
      </c>
      <c r="J79" s="7" t="n">
        <v>130000</v>
      </c>
      <c r="K79" s="7" t="n">
        <f aca="false">+J79*19%</f>
        <v>24700</v>
      </c>
      <c r="L79" s="7" t="n">
        <f aca="false">+J79+K79</f>
        <v>154700</v>
      </c>
      <c r="M79" s="7" t="n">
        <v>214285.714285714</v>
      </c>
      <c r="N79" s="7" t="n">
        <f aca="false">+M79*19%</f>
        <v>40714.2857142857</v>
      </c>
      <c r="O79" s="7" t="n">
        <f aca="false">+M79+N79</f>
        <v>255000</v>
      </c>
    </row>
    <row r="80" customFormat="false" ht="15" hidden="false" customHeight="true" outlineLevel="0" collapsed="false">
      <c r="A80" s="4" t="s">
        <v>223</v>
      </c>
      <c r="B80" s="13" t="s">
        <v>230</v>
      </c>
      <c r="C80" s="13" t="n">
        <v>370420</v>
      </c>
      <c r="D80" s="13" t="s">
        <v>233</v>
      </c>
      <c r="E80" s="10"/>
      <c r="F80" s="13" t="s">
        <v>225</v>
      </c>
      <c r="G80" s="6" t="n">
        <v>120000</v>
      </c>
      <c r="H80" s="6" t="n">
        <f aca="false">+G80*19%</f>
        <v>22800</v>
      </c>
      <c r="I80" s="6" t="n">
        <f aca="false">+G80+H80</f>
        <v>142800</v>
      </c>
      <c r="J80" s="7" t="n">
        <v>120000</v>
      </c>
      <c r="K80" s="7" t="n">
        <f aca="false">+J80*19%</f>
        <v>22800</v>
      </c>
      <c r="L80" s="7" t="n">
        <f aca="false">+J80+K80</f>
        <v>142800</v>
      </c>
      <c r="M80" s="7" t="n">
        <v>200000</v>
      </c>
      <c r="N80" s="7" t="n">
        <f aca="false">+M80*19%</f>
        <v>38000</v>
      </c>
      <c r="O80" s="7" t="n">
        <f aca="false">+M80+N80</f>
        <v>238000</v>
      </c>
    </row>
    <row r="81" customFormat="false" ht="15" hidden="false" customHeight="true" outlineLevel="0" collapsed="false">
      <c r="A81" s="4" t="s">
        <v>223</v>
      </c>
      <c r="B81" s="13" t="s">
        <v>230</v>
      </c>
      <c r="C81" s="13" t="s">
        <v>234</v>
      </c>
      <c r="D81" s="13" t="s">
        <v>235</v>
      </c>
      <c r="E81" s="10"/>
      <c r="F81" s="13" t="s">
        <v>225</v>
      </c>
      <c r="G81" s="6" t="n">
        <v>120000</v>
      </c>
      <c r="H81" s="6" t="n">
        <f aca="false">+G81*19%</f>
        <v>22800</v>
      </c>
      <c r="I81" s="6" t="n">
        <f aca="false">+G81+H81</f>
        <v>142800</v>
      </c>
      <c r="J81" s="7" t="n">
        <v>120000</v>
      </c>
      <c r="K81" s="7" t="n">
        <f aca="false">+J81*19%</f>
        <v>22800</v>
      </c>
      <c r="L81" s="7" t="n">
        <f aca="false">+J81+K81</f>
        <v>142800</v>
      </c>
      <c r="M81" s="7" t="n">
        <v>200000</v>
      </c>
      <c r="N81" s="7" t="n">
        <f aca="false">+M81*19%</f>
        <v>38000</v>
      </c>
      <c r="O81" s="7" t="n">
        <f aca="false">+M81+N81</f>
        <v>238000</v>
      </c>
    </row>
    <row r="82" customFormat="false" ht="15" hidden="false" customHeight="true" outlineLevel="0" collapsed="false">
      <c r="A82" s="4" t="s">
        <v>223</v>
      </c>
      <c r="B82" s="13" t="s">
        <v>236</v>
      </c>
      <c r="C82" s="13" t="s">
        <v>227</v>
      </c>
      <c r="D82" s="13" t="s">
        <v>237</v>
      </c>
      <c r="E82" s="10"/>
      <c r="F82" s="13" t="s">
        <v>87</v>
      </c>
      <c r="G82" s="6" t="n">
        <v>130000</v>
      </c>
      <c r="H82" s="6" t="n">
        <f aca="false">+G82*19%</f>
        <v>24700</v>
      </c>
      <c r="I82" s="6" t="n">
        <f aca="false">+G82+H82</f>
        <v>154700</v>
      </c>
      <c r="J82" s="7" t="n">
        <v>130000</v>
      </c>
      <c r="K82" s="7" t="n">
        <f aca="false">+J82*19%</f>
        <v>24700</v>
      </c>
      <c r="L82" s="7" t="n">
        <f aca="false">+J82+K82</f>
        <v>154700</v>
      </c>
      <c r="M82" s="7" t="n">
        <v>214285.714285714</v>
      </c>
      <c r="N82" s="7" t="n">
        <f aca="false">+M82*19%</f>
        <v>40714.2857142857</v>
      </c>
      <c r="O82" s="7" t="n">
        <f aca="false">+M82+N82</f>
        <v>255000</v>
      </c>
    </row>
    <row r="83" customFormat="false" ht="14.25" hidden="false" customHeight="false" outlineLevel="0" collapsed="false">
      <c r="A83" s="4" t="s">
        <v>238</v>
      </c>
      <c r="B83" s="10" t="s">
        <v>239</v>
      </c>
      <c r="C83" s="8"/>
      <c r="D83" s="9"/>
      <c r="E83" s="10"/>
      <c r="F83" s="9" t="s">
        <v>240</v>
      </c>
      <c r="G83" s="6" t="n">
        <v>70000</v>
      </c>
      <c r="H83" s="6" t="n">
        <f aca="false">+G83*19%</f>
        <v>13300</v>
      </c>
      <c r="I83" s="6" t="n">
        <f aca="false">+G83+H83</f>
        <v>83300</v>
      </c>
      <c r="J83" s="7" t="n">
        <v>85000</v>
      </c>
      <c r="K83" s="7" t="n">
        <f aca="false">+J83*19%</f>
        <v>16150</v>
      </c>
      <c r="L83" s="7" t="n">
        <f aca="false">+J83+K83</f>
        <v>101150</v>
      </c>
      <c r="M83" s="12"/>
      <c r="N83" s="12" t="n">
        <f aca="false">+M83*19%</f>
        <v>0</v>
      </c>
      <c r="O83" s="12" t="n">
        <f aca="false">+M83+N83</f>
        <v>0</v>
      </c>
    </row>
    <row r="84" customFormat="false" ht="14.25" hidden="false" customHeight="false" outlineLevel="0" collapsed="false">
      <c r="A84" s="4" t="s">
        <v>241</v>
      </c>
      <c r="B84" s="8"/>
      <c r="C84" s="10" t="s">
        <v>242</v>
      </c>
      <c r="D84" s="9" t="n">
        <v>2203018</v>
      </c>
      <c r="E84" s="10"/>
      <c r="F84" s="9"/>
      <c r="G84" s="6" t="n">
        <v>70000</v>
      </c>
      <c r="H84" s="6" t="n">
        <f aca="false">+G84*19%</f>
        <v>13300</v>
      </c>
      <c r="I84" s="6" t="n">
        <f aca="false">+G84+H84</f>
        <v>83300</v>
      </c>
      <c r="J84" s="12"/>
      <c r="K84" s="12" t="n">
        <f aca="false">+J84*19%</f>
        <v>0</v>
      </c>
      <c r="L84" s="12" t="n">
        <f aca="false">+J84+K84</f>
        <v>0</v>
      </c>
      <c r="M84" s="12"/>
      <c r="N84" s="12" t="n">
        <f aca="false">+M84*19%</f>
        <v>0</v>
      </c>
      <c r="O84" s="12" t="n">
        <f aca="false">+M84+N84</f>
        <v>0</v>
      </c>
    </row>
    <row r="85" customFormat="false" ht="14.25" hidden="false" customHeight="false" outlineLevel="0" collapsed="false">
      <c r="A85" s="4" t="s">
        <v>243</v>
      </c>
      <c r="B85" s="10" t="s">
        <v>167</v>
      </c>
      <c r="C85" s="9"/>
      <c r="D85" s="9" t="n">
        <v>228</v>
      </c>
      <c r="E85" s="10"/>
      <c r="F85" s="9"/>
      <c r="G85" s="6" t="n">
        <v>70000</v>
      </c>
      <c r="H85" s="6" t="n">
        <f aca="false">+G85*19%</f>
        <v>13300</v>
      </c>
      <c r="I85" s="6" t="n">
        <f aca="false">+G85+H85</f>
        <v>83300</v>
      </c>
      <c r="J85" s="12"/>
      <c r="K85" s="12" t="n">
        <f aca="false">+J85*19%</f>
        <v>0</v>
      </c>
      <c r="L85" s="12" t="n">
        <f aca="false">+J85+K85</f>
        <v>0</v>
      </c>
      <c r="M85" s="12"/>
      <c r="N85" s="12" t="n">
        <f aca="false">+M85*19%</f>
        <v>0</v>
      </c>
      <c r="O85" s="12" t="n">
        <f aca="false">+M85+N85</f>
        <v>0</v>
      </c>
    </row>
    <row r="86" customFormat="false" ht="14.25" hidden="false" customHeight="false" outlineLevel="0" collapsed="false">
      <c r="A86" s="4" t="s">
        <v>243</v>
      </c>
      <c r="B86" s="10" t="s">
        <v>167</v>
      </c>
      <c r="C86" s="9"/>
      <c r="D86" s="9" t="n">
        <v>128</v>
      </c>
      <c r="E86" s="10"/>
      <c r="F86" s="9"/>
      <c r="G86" s="6" t="n">
        <v>70000</v>
      </c>
      <c r="H86" s="6" t="n">
        <f aca="false">+G86*19%</f>
        <v>13300</v>
      </c>
      <c r="I86" s="6" t="n">
        <f aca="false">+G86+H86</f>
        <v>83300</v>
      </c>
      <c r="J86" s="12"/>
      <c r="K86" s="12" t="n">
        <f aca="false">+J86*19%</f>
        <v>0</v>
      </c>
      <c r="L86" s="12" t="n">
        <f aca="false">+J86+K86</f>
        <v>0</v>
      </c>
      <c r="M86" s="12"/>
      <c r="N86" s="12" t="n">
        <f aca="false">+M86*19%</f>
        <v>0</v>
      </c>
      <c r="O86" s="12" t="n">
        <f aca="false">+M86+N86</f>
        <v>0</v>
      </c>
    </row>
    <row r="87" customFormat="false" ht="14.25" hidden="false" customHeight="false" outlineLevel="0" collapsed="false">
      <c r="A87" s="4" t="s">
        <v>243</v>
      </c>
      <c r="B87" s="9" t="s">
        <v>244</v>
      </c>
      <c r="C87" s="9" t="s">
        <v>244</v>
      </c>
      <c r="D87" s="9" t="s">
        <v>244</v>
      </c>
      <c r="E87" s="10"/>
      <c r="F87" s="9" t="s">
        <v>87</v>
      </c>
      <c r="G87" s="6" t="n">
        <v>70000</v>
      </c>
      <c r="H87" s="6" t="n">
        <f aca="false">+G87*19%</f>
        <v>13300</v>
      </c>
      <c r="I87" s="6" t="n">
        <f aca="false">+G87+H87</f>
        <v>83300</v>
      </c>
      <c r="J87" s="12"/>
      <c r="K87" s="12" t="n">
        <f aca="false">+J87*19%</f>
        <v>0</v>
      </c>
      <c r="L87" s="12" t="n">
        <f aca="false">+J87+K87</f>
        <v>0</v>
      </c>
      <c r="M87" s="12"/>
      <c r="N87" s="12" t="n">
        <f aca="false">+M87*19%</f>
        <v>0</v>
      </c>
      <c r="O87" s="12" t="n">
        <f aca="false">+M87+N87</f>
        <v>0</v>
      </c>
    </row>
    <row r="88" customFormat="false" ht="15" hidden="false" customHeight="true" outlineLevel="0" collapsed="false">
      <c r="A88" s="4" t="s">
        <v>245</v>
      </c>
      <c r="B88" s="13" t="s">
        <v>144</v>
      </c>
      <c r="C88" s="13" t="s">
        <v>246</v>
      </c>
      <c r="D88" s="13" t="s">
        <v>247</v>
      </c>
      <c r="E88" s="10"/>
      <c r="F88" s="13" t="s">
        <v>87</v>
      </c>
      <c r="G88" s="6" t="n">
        <v>60000</v>
      </c>
      <c r="H88" s="6" t="n">
        <f aca="false">+G88*19%</f>
        <v>11400</v>
      </c>
      <c r="I88" s="6" t="n">
        <f aca="false">+G88+H88</f>
        <v>71400</v>
      </c>
      <c r="J88" s="7" t="n">
        <v>60000</v>
      </c>
      <c r="K88" s="7" t="n">
        <f aca="false">+J88*19%</f>
        <v>11400</v>
      </c>
      <c r="L88" s="7" t="n">
        <f aca="false">+J88+K88</f>
        <v>71400</v>
      </c>
      <c r="M88" s="7" t="n">
        <v>141056</v>
      </c>
      <c r="N88" s="7" t="n">
        <f aca="false">+M88*19%</f>
        <v>26800.64</v>
      </c>
      <c r="O88" s="7" t="n">
        <f aca="false">+M88+N88</f>
        <v>167856.64</v>
      </c>
    </row>
    <row r="89" customFormat="false" ht="15" hidden="false" customHeight="true" outlineLevel="0" collapsed="false">
      <c r="A89" s="4" t="s">
        <v>245</v>
      </c>
      <c r="B89" s="13" t="s">
        <v>248</v>
      </c>
      <c r="C89" s="13" t="s">
        <v>249</v>
      </c>
      <c r="D89" s="13" t="n">
        <v>25080102263</v>
      </c>
      <c r="E89" s="10"/>
      <c r="F89" s="13" t="s">
        <v>96</v>
      </c>
      <c r="G89" s="6" t="n">
        <v>60000</v>
      </c>
      <c r="H89" s="6" t="n">
        <f aca="false">+G89*19%</f>
        <v>11400</v>
      </c>
      <c r="I89" s="6" t="n">
        <f aca="false">+G89+H89</f>
        <v>71400</v>
      </c>
      <c r="J89" s="7" t="n">
        <v>65000</v>
      </c>
      <c r="K89" s="7" t="n">
        <f aca="false">+J89*19%</f>
        <v>12350</v>
      </c>
      <c r="L89" s="7" t="n">
        <f aca="false">+J89+K89</f>
        <v>77350</v>
      </c>
      <c r="M89" s="11" t="n">
        <v>92857.1428571429</v>
      </c>
      <c r="N89" s="7" t="n">
        <f aca="false">+M89*19%</f>
        <v>17642.8571428572</v>
      </c>
      <c r="O89" s="7" t="n">
        <f aca="false">+M89+N89</f>
        <v>110500</v>
      </c>
    </row>
    <row r="90" customFormat="false" ht="15" hidden="false" customHeight="true" outlineLevel="0" collapsed="false">
      <c r="A90" s="4" t="s">
        <v>245</v>
      </c>
      <c r="B90" s="13" t="s">
        <v>144</v>
      </c>
      <c r="C90" s="13" t="s">
        <v>246</v>
      </c>
      <c r="D90" s="13" t="s">
        <v>250</v>
      </c>
      <c r="E90" s="10"/>
      <c r="F90" s="13" t="s">
        <v>86</v>
      </c>
      <c r="G90" s="6" t="n">
        <v>60000</v>
      </c>
      <c r="H90" s="6" t="n">
        <f aca="false">+G90*19%</f>
        <v>11400</v>
      </c>
      <c r="I90" s="6" t="n">
        <f aca="false">+G90+H90</f>
        <v>71400</v>
      </c>
      <c r="J90" s="7" t="n">
        <v>60000</v>
      </c>
      <c r="K90" s="7" t="n">
        <f aca="false">+J90*19%</f>
        <v>11400</v>
      </c>
      <c r="L90" s="7" t="n">
        <f aca="false">+J90+K90</f>
        <v>71400</v>
      </c>
      <c r="M90" s="7" t="n">
        <v>141056</v>
      </c>
      <c r="N90" s="7" t="n">
        <f aca="false">+M90*19%</f>
        <v>26800.64</v>
      </c>
      <c r="O90" s="7" t="n">
        <f aca="false">+M90+N90</f>
        <v>167856.64</v>
      </c>
    </row>
    <row r="91" customFormat="false" ht="15" hidden="false" customHeight="true" outlineLevel="0" collapsed="false">
      <c r="A91" s="4" t="s">
        <v>245</v>
      </c>
      <c r="B91" s="13" t="s">
        <v>144</v>
      </c>
      <c r="C91" s="13" t="s">
        <v>251</v>
      </c>
      <c r="D91" s="19" t="n">
        <v>191009103270</v>
      </c>
      <c r="E91" s="10"/>
      <c r="F91" s="13" t="s">
        <v>154</v>
      </c>
      <c r="G91" s="6" t="n">
        <v>60000</v>
      </c>
      <c r="H91" s="6" t="n">
        <f aca="false">+G91*19%</f>
        <v>11400</v>
      </c>
      <c r="I91" s="6" t="n">
        <f aca="false">+G91+H91</f>
        <v>71400</v>
      </c>
      <c r="J91" s="7" t="n">
        <v>60000</v>
      </c>
      <c r="K91" s="7" t="n">
        <f aca="false">+J91*19%</f>
        <v>11400</v>
      </c>
      <c r="L91" s="7" t="n">
        <f aca="false">+J91+K91</f>
        <v>71400</v>
      </c>
      <c r="M91" s="7" t="n">
        <v>185195</v>
      </c>
      <c r="N91" s="7" t="n">
        <f aca="false">+M91*19%</f>
        <v>35187.05</v>
      </c>
      <c r="O91" s="7" t="n">
        <f aca="false">+M91+N91</f>
        <v>220382.05</v>
      </c>
    </row>
    <row r="92" customFormat="false" ht="15.65" hidden="false" customHeight="false" outlineLevel="0" collapsed="false">
      <c r="A92" s="4" t="s">
        <v>252</v>
      </c>
      <c r="B92" s="8" t="s">
        <v>253</v>
      </c>
      <c r="C92" s="9" t="s">
        <v>254</v>
      </c>
      <c r="D92" s="27" t="n">
        <v>242299601805</v>
      </c>
      <c r="E92" s="10"/>
      <c r="F92" s="9" t="s">
        <v>240</v>
      </c>
      <c r="G92" s="6" t="n">
        <v>60000</v>
      </c>
      <c r="H92" s="6" t="n">
        <f aca="false">+G92*19%</f>
        <v>11400</v>
      </c>
      <c r="I92" s="6" t="n">
        <f aca="false">+G92+H92</f>
        <v>71400</v>
      </c>
      <c r="J92" s="7" t="n">
        <v>65000</v>
      </c>
      <c r="K92" s="7" t="n">
        <f aca="false">+J92*19%</f>
        <v>12350</v>
      </c>
      <c r="L92" s="7" t="n">
        <f aca="false">+J92+K92</f>
        <v>77350</v>
      </c>
      <c r="M92" s="11" t="n">
        <v>185195</v>
      </c>
      <c r="N92" s="7" t="n">
        <f aca="false">+M92*19%</f>
        <v>35187.05</v>
      </c>
      <c r="O92" s="7" t="n">
        <f aca="false">+M92+N92</f>
        <v>220382.05</v>
      </c>
    </row>
    <row r="93" customFormat="false" ht="15.65" hidden="false" customHeight="false" outlineLevel="0" collapsed="false">
      <c r="A93" s="4" t="s">
        <v>252</v>
      </c>
      <c r="B93" s="8" t="s">
        <v>248</v>
      </c>
      <c r="C93" s="9" t="s">
        <v>249</v>
      </c>
      <c r="D93" s="9" t="n">
        <v>25080102267</v>
      </c>
      <c r="E93" s="10"/>
      <c r="F93" s="9" t="s">
        <v>240</v>
      </c>
      <c r="G93" s="6" t="n">
        <v>60000</v>
      </c>
      <c r="H93" s="6" t="n">
        <f aca="false">+G93*19%</f>
        <v>11400</v>
      </c>
      <c r="I93" s="6" t="n">
        <f aca="false">+G93+H93</f>
        <v>71400</v>
      </c>
      <c r="J93" s="7" t="n">
        <v>65000</v>
      </c>
      <c r="K93" s="7" t="n">
        <f aca="false">+J93*19%</f>
        <v>12350</v>
      </c>
      <c r="L93" s="7" t="n">
        <f aca="false">+J93+K93</f>
        <v>77350</v>
      </c>
      <c r="M93" s="7" t="n">
        <v>92857.1428571429</v>
      </c>
      <c r="N93" s="7" t="n">
        <f aca="false">+M93*19%</f>
        <v>17642.8571428572</v>
      </c>
      <c r="O93" s="7" t="n">
        <f aca="false">+M93+N93</f>
        <v>110500</v>
      </c>
    </row>
    <row r="94" customFormat="false" ht="15" hidden="false" customHeight="true" outlineLevel="0" collapsed="false">
      <c r="A94" s="4" t="s">
        <v>255</v>
      </c>
      <c r="B94" s="13" t="s">
        <v>94</v>
      </c>
      <c r="C94" s="13" t="s">
        <v>256</v>
      </c>
      <c r="D94" s="13" t="s">
        <v>257</v>
      </c>
      <c r="E94" s="10"/>
      <c r="F94" s="13" t="s">
        <v>258</v>
      </c>
      <c r="G94" s="6" t="n">
        <v>60000</v>
      </c>
      <c r="H94" s="6" t="n">
        <f aca="false">+G94*19%</f>
        <v>11400</v>
      </c>
      <c r="I94" s="6" t="n">
        <f aca="false">+G94+H94</f>
        <v>71400</v>
      </c>
      <c r="J94" s="7" t="n">
        <v>60000</v>
      </c>
      <c r="K94" s="7" t="n">
        <f aca="false">+J94*19%</f>
        <v>11400</v>
      </c>
      <c r="L94" s="7" t="n">
        <f aca="false">+J94+K94</f>
        <v>71400</v>
      </c>
      <c r="M94" s="7" t="n">
        <v>141056</v>
      </c>
      <c r="N94" s="7" t="n">
        <f aca="false">+M94*19%</f>
        <v>26800.64</v>
      </c>
      <c r="O94" s="7" t="n">
        <f aca="false">+M94+N94</f>
        <v>167856.64</v>
      </c>
    </row>
    <row r="95" customFormat="false" ht="15" hidden="false" customHeight="true" outlineLevel="0" collapsed="false">
      <c r="A95" s="28" t="s">
        <v>255</v>
      </c>
      <c r="B95" s="13" t="s">
        <v>94</v>
      </c>
      <c r="C95" s="13" t="s">
        <v>256</v>
      </c>
      <c r="D95" s="29" t="n">
        <v>4232006220083</v>
      </c>
      <c r="E95" s="30"/>
      <c r="F95" s="13" t="s">
        <v>258</v>
      </c>
      <c r="G95" s="6" t="n">
        <v>60000</v>
      </c>
      <c r="H95" s="6" t="n">
        <f aca="false">+G95*19%</f>
        <v>11400</v>
      </c>
      <c r="I95" s="6" t="n">
        <f aca="false">+G95+H95</f>
        <v>71400</v>
      </c>
      <c r="J95" s="7" t="n">
        <v>60000</v>
      </c>
      <c r="K95" s="7" t="n">
        <f aca="false">+J95*19%</f>
        <v>11400</v>
      </c>
      <c r="L95" s="7" t="n">
        <f aca="false">+J95+K95</f>
        <v>71400</v>
      </c>
      <c r="M95" s="7" t="n">
        <v>141056</v>
      </c>
      <c r="N95" s="7" t="n">
        <f aca="false">+M95*19%</f>
        <v>26800.64</v>
      </c>
      <c r="O95" s="7" t="n">
        <f aca="false">+M95+N95</f>
        <v>167856.64</v>
      </c>
    </row>
    <row r="96" customFormat="false" ht="15" hidden="false" customHeight="true" outlineLevel="0" collapsed="false">
      <c r="A96" s="4" t="s">
        <v>259</v>
      </c>
      <c r="B96" s="13" t="s">
        <v>260</v>
      </c>
      <c r="C96" s="13" t="n">
        <v>3341321619</v>
      </c>
      <c r="D96" s="29" t="n">
        <v>10000001438631</v>
      </c>
      <c r="E96" s="10"/>
      <c r="F96" s="13" t="s">
        <v>261</v>
      </c>
      <c r="G96" s="6" t="n">
        <v>60000</v>
      </c>
      <c r="H96" s="6" t="n">
        <f aca="false">+G96*19%</f>
        <v>11400</v>
      </c>
      <c r="I96" s="6" t="n">
        <f aca="false">+G96+H96</f>
        <v>71400</v>
      </c>
      <c r="J96" s="7" t="n">
        <v>60000</v>
      </c>
      <c r="K96" s="7" t="n">
        <f aca="false">+J96*19%</f>
        <v>11400</v>
      </c>
      <c r="L96" s="7" t="n">
        <f aca="false">+J96+K96</f>
        <v>71400</v>
      </c>
      <c r="M96" s="7" t="n">
        <v>141056</v>
      </c>
      <c r="N96" s="7" t="n">
        <f aca="false">+M96*19%</f>
        <v>26800.64</v>
      </c>
      <c r="O96" s="7" t="n">
        <f aca="false">+M96+N96</f>
        <v>167856.64</v>
      </c>
    </row>
    <row r="97" customFormat="false" ht="14.25" hidden="false" customHeight="false" outlineLevel="0" collapsed="false">
      <c r="A97" s="4" t="s">
        <v>262</v>
      </c>
      <c r="B97" s="5" t="s">
        <v>116</v>
      </c>
      <c r="C97" s="5"/>
      <c r="D97" s="5" t="s">
        <v>263</v>
      </c>
      <c r="E97" s="5" t="s">
        <v>114</v>
      </c>
      <c r="F97" s="5" t="s">
        <v>30</v>
      </c>
      <c r="G97" s="6" t="n">
        <v>65000</v>
      </c>
      <c r="H97" s="6" t="n">
        <f aca="false">+G97*19%</f>
        <v>12350</v>
      </c>
      <c r="I97" s="6" t="n">
        <f aca="false">+G97+H97</f>
        <v>77350</v>
      </c>
      <c r="J97" s="7" t="n">
        <v>65000</v>
      </c>
      <c r="K97" s="7" t="n">
        <f aca="false">+J97*19%</f>
        <v>12350</v>
      </c>
      <c r="L97" s="7" t="n">
        <f aca="false">+J97+K97</f>
        <v>77350</v>
      </c>
      <c r="M97" s="7" t="n">
        <v>119166.666666667</v>
      </c>
      <c r="N97" s="7" t="n">
        <f aca="false">+M97*19%</f>
        <v>22641.6666666667</v>
      </c>
      <c r="O97" s="7" t="n">
        <f aca="false">+M97+N97</f>
        <v>141808.333333334</v>
      </c>
    </row>
    <row r="98" customFormat="false" ht="15" hidden="false" customHeight="true" outlineLevel="0" collapsed="false">
      <c r="A98" s="4" t="s">
        <v>264</v>
      </c>
      <c r="B98" s="13"/>
      <c r="C98" s="13"/>
      <c r="D98" s="13" t="s">
        <v>265</v>
      </c>
      <c r="E98" s="10"/>
      <c r="F98" s="13" t="s">
        <v>33</v>
      </c>
      <c r="G98" s="6" t="n">
        <v>55000</v>
      </c>
      <c r="H98" s="6" t="n">
        <f aca="false">+G98*19%</f>
        <v>10450</v>
      </c>
      <c r="I98" s="6" t="n">
        <f aca="false">+G98+H98</f>
        <v>65450</v>
      </c>
      <c r="J98" s="7" t="n">
        <v>55000</v>
      </c>
      <c r="K98" s="7" t="n">
        <f aca="false">+J98*19%</f>
        <v>10450</v>
      </c>
      <c r="L98" s="7" t="n">
        <f aca="false">+J98+K98</f>
        <v>65450</v>
      </c>
      <c r="M98" s="7" t="n">
        <v>138833</v>
      </c>
      <c r="N98" s="7" t="n">
        <f aca="false">+M98*19%</f>
        <v>26378.27</v>
      </c>
      <c r="O98" s="7" t="n">
        <f aca="false">+M98+N98</f>
        <v>165211.27</v>
      </c>
    </row>
    <row r="99" customFormat="false" ht="15" hidden="false" customHeight="true" outlineLevel="0" collapsed="false">
      <c r="A99" s="4" t="s">
        <v>264</v>
      </c>
      <c r="B99" s="13"/>
      <c r="C99" s="13"/>
      <c r="D99" s="13" t="s">
        <v>266</v>
      </c>
      <c r="E99" s="10"/>
      <c r="F99" s="13" t="s">
        <v>33</v>
      </c>
      <c r="G99" s="6" t="n">
        <v>55000</v>
      </c>
      <c r="H99" s="6" t="n">
        <f aca="false">+G99*19%</f>
        <v>10450</v>
      </c>
      <c r="I99" s="6" t="n">
        <f aca="false">+G99+H99</f>
        <v>65450</v>
      </c>
      <c r="J99" s="7" t="n">
        <v>55000</v>
      </c>
      <c r="K99" s="7" t="n">
        <f aca="false">+J99*19%</f>
        <v>10450</v>
      </c>
      <c r="L99" s="7" t="n">
        <f aca="false">+J99+K99</f>
        <v>65450</v>
      </c>
      <c r="M99" s="11" t="n">
        <v>138833</v>
      </c>
      <c r="N99" s="7" t="n">
        <f aca="false">+M99*19%</f>
        <v>26378.27</v>
      </c>
      <c r="O99" s="7" t="n">
        <f aca="false">+M99+N99</f>
        <v>165211.27</v>
      </c>
    </row>
    <row r="100" customFormat="false" ht="15" hidden="false" customHeight="true" outlineLevel="0" collapsed="false">
      <c r="A100" s="4" t="s">
        <v>264</v>
      </c>
      <c r="B100" s="13" t="s">
        <v>267</v>
      </c>
      <c r="C100" s="13"/>
      <c r="D100" s="13" t="s">
        <v>268</v>
      </c>
      <c r="E100" s="10"/>
      <c r="F100" s="13" t="s">
        <v>33</v>
      </c>
      <c r="G100" s="6" t="n">
        <v>55000</v>
      </c>
      <c r="H100" s="6" t="n">
        <f aca="false">+G100*19%</f>
        <v>10450</v>
      </c>
      <c r="I100" s="6" t="n">
        <f aca="false">+G100+H100</f>
        <v>65450</v>
      </c>
      <c r="J100" s="7" t="n">
        <v>55000</v>
      </c>
      <c r="K100" s="7" t="n">
        <f aca="false">+J100*19%</f>
        <v>10450</v>
      </c>
      <c r="L100" s="7" t="n">
        <f aca="false">+J100+K100</f>
        <v>65450</v>
      </c>
      <c r="M100" s="11" t="n">
        <v>138833</v>
      </c>
      <c r="N100" s="7" t="n">
        <f aca="false">+M100*19%</f>
        <v>26378.27</v>
      </c>
      <c r="O100" s="7" t="n">
        <f aca="false">+M100+N100</f>
        <v>165211.27</v>
      </c>
    </row>
    <row r="101" customFormat="false" ht="15" hidden="false" customHeight="true" outlineLevel="0" collapsed="false">
      <c r="A101" s="4" t="s">
        <v>264</v>
      </c>
      <c r="B101" s="13" t="s">
        <v>269</v>
      </c>
      <c r="C101" s="13"/>
      <c r="D101" s="13" t="n">
        <v>2675</v>
      </c>
      <c r="E101" s="10"/>
      <c r="F101" s="13" t="s">
        <v>33</v>
      </c>
      <c r="G101" s="6" t="n">
        <v>55000</v>
      </c>
      <c r="H101" s="6" t="n">
        <f aca="false">+G101*19%</f>
        <v>10450</v>
      </c>
      <c r="I101" s="6" t="n">
        <f aca="false">+G101+H101</f>
        <v>65450</v>
      </c>
      <c r="J101" s="7" t="n">
        <v>55000</v>
      </c>
      <c r="K101" s="7" t="n">
        <f aca="false">+J101*19%</f>
        <v>10450</v>
      </c>
      <c r="L101" s="7" t="n">
        <f aca="false">+J101+K101</f>
        <v>65450</v>
      </c>
      <c r="M101" s="11" t="n">
        <v>138833</v>
      </c>
      <c r="N101" s="7" t="n">
        <f aca="false">+M101*19%</f>
        <v>26378.27</v>
      </c>
      <c r="O101" s="7" t="n">
        <f aca="false">+M101+N101</f>
        <v>165211.27</v>
      </c>
    </row>
    <row r="102" customFormat="false" ht="15" hidden="false" customHeight="true" outlineLevel="0" collapsed="false">
      <c r="A102" s="4" t="s">
        <v>270</v>
      </c>
      <c r="B102" s="13" t="s">
        <v>248</v>
      </c>
      <c r="C102" s="13" t="s">
        <v>249</v>
      </c>
      <c r="D102" s="13" t="n">
        <v>23120050286</v>
      </c>
      <c r="E102" s="10"/>
      <c r="F102" s="13" t="s">
        <v>96</v>
      </c>
      <c r="G102" s="6" t="n">
        <v>65000</v>
      </c>
      <c r="H102" s="6" t="n">
        <f aca="false">+G102*19%</f>
        <v>12350</v>
      </c>
      <c r="I102" s="6" t="n">
        <f aca="false">+G102+H102</f>
        <v>77350</v>
      </c>
      <c r="J102" s="7" t="n">
        <v>65000</v>
      </c>
      <c r="K102" s="7" t="n">
        <f aca="false">+J102*19%</f>
        <v>12350</v>
      </c>
      <c r="L102" s="7" t="n">
        <f aca="false">+J102+K102</f>
        <v>77350</v>
      </c>
      <c r="M102" s="7" t="n">
        <v>92857.1428571429</v>
      </c>
      <c r="N102" s="7" t="n">
        <f aca="false">+M102*19%</f>
        <v>17642.8571428572</v>
      </c>
      <c r="O102" s="7" t="n">
        <f aca="false">+M102+N102</f>
        <v>110500</v>
      </c>
    </row>
    <row r="103" customFormat="false" ht="15" hidden="false" customHeight="true" outlineLevel="0" collapsed="false">
      <c r="A103" s="4" t="s">
        <v>270</v>
      </c>
      <c r="B103" s="13" t="s">
        <v>248</v>
      </c>
      <c r="C103" s="13" t="s">
        <v>249</v>
      </c>
      <c r="D103" s="13" t="n">
        <v>23120050302</v>
      </c>
      <c r="E103" s="10"/>
      <c r="F103" s="13" t="s">
        <v>96</v>
      </c>
      <c r="G103" s="6" t="n">
        <v>65000</v>
      </c>
      <c r="H103" s="6" t="n">
        <f aca="false">+G103*19%</f>
        <v>12350</v>
      </c>
      <c r="I103" s="6" t="n">
        <f aca="false">+G103+H103</f>
        <v>77350</v>
      </c>
      <c r="J103" s="7" t="n">
        <v>65000</v>
      </c>
      <c r="K103" s="7" t="n">
        <f aca="false">+J103*19%</f>
        <v>12350</v>
      </c>
      <c r="L103" s="7" t="n">
        <f aca="false">+J103+K103</f>
        <v>77350</v>
      </c>
      <c r="M103" s="7" t="n">
        <v>92857.1428571429</v>
      </c>
      <c r="N103" s="7" t="n">
        <f aca="false">+M103*19%</f>
        <v>17642.8571428572</v>
      </c>
      <c r="O103" s="7" t="n">
        <f aca="false">+M103+N103</f>
        <v>110500</v>
      </c>
    </row>
    <row r="104" customFormat="false" ht="15" hidden="false" customHeight="true" outlineLevel="0" collapsed="false">
      <c r="A104" s="4" t="s">
        <v>270</v>
      </c>
      <c r="B104" s="13" t="s">
        <v>239</v>
      </c>
      <c r="C104" s="13" t="s">
        <v>249</v>
      </c>
      <c r="D104" s="13" t="n">
        <v>23120050298</v>
      </c>
      <c r="E104" s="10"/>
      <c r="F104" s="13" t="s">
        <v>96</v>
      </c>
      <c r="G104" s="6" t="n">
        <v>65000</v>
      </c>
      <c r="H104" s="6" t="n">
        <f aca="false">+G104*19%</f>
        <v>12350</v>
      </c>
      <c r="I104" s="6" t="n">
        <f aca="false">+G104+H104</f>
        <v>77350</v>
      </c>
      <c r="J104" s="7" t="n">
        <v>65000</v>
      </c>
      <c r="K104" s="7" t="n">
        <f aca="false">+J104*19%</f>
        <v>12350</v>
      </c>
      <c r="L104" s="7" t="n">
        <f aca="false">+J104+K104</f>
        <v>77350</v>
      </c>
      <c r="M104" s="7" t="n">
        <v>92857.1428571429</v>
      </c>
      <c r="N104" s="7" t="n">
        <f aca="false">+M104*19%</f>
        <v>17642.8571428572</v>
      </c>
      <c r="O104" s="7" t="n">
        <f aca="false">+M104+N104</f>
        <v>110500</v>
      </c>
    </row>
    <row r="105" customFormat="false" ht="15" hidden="false" customHeight="true" outlineLevel="0" collapsed="false">
      <c r="A105" s="4" t="s">
        <v>270</v>
      </c>
      <c r="B105" s="13" t="s">
        <v>248</v>
      </c>
      <c r="C105" s="13" t="s">
        <v>249</v>
      </c>
      <c r="D105" s="13" t="n">
        <v>24100080084</v>
      </c>
      <c r="E105" s="10"/>
      <c r="F105" s="13" t="s">
        <v>96</v>
      </c>
      <c r="G105" s="6" t="n">
        <v>65000</v>
      </c>
      <c r="H105" s="6" t="n">
        <f aca="false">+G105*19%</f>
        <v>12350</v>
      </c>
      <c r="I105" s="6" t="n">
        <f aca="false">+G105+H105</f>
        <v>77350</v>
      </c>
      <c r="J105" s="7" t="n">
        <v>65000</v>
      </c>
      <c r="K105" s="7" t="n">
        <f aca="false">+J105*19%</f>
        <v>12350</v>
      </c>
      <c r="L105" s="7" t="n">
        <f aca="false">+J105+K105</f>
        <v>77350</v>
      </c>
      <c r="M105" s="7" t="n">
        <v>185195</v>
      </c>
      <c r="N105" s="7" t="n">
        <f aca="false">+M105*19%</f>
        <v>35187.05</v>
      </c>
      <c r="O105" s="7" t="n">
        <f aca="false">+M105+N105</f>
        <v>220382.05</v>
      </c>
    </row>
    <row r="106" customFormat="false" ht="15" hidden="false" customHeight="true" outlineLevel="0" collapsed="false">
      <c r="A106" s="4" t="s">
        <v>270</v>
      </c>
      <c r="B106" s="13" t="s">
        <v>248</v>
      </c>
      <c r="C106" s="13" t="s">
        <v>271</v>
      </c>
      <c r="D106" s="13" t="n">
        <v>25080102266</v>
      </c>
      <c r="E106" s="10"/>
      <c r="F106" s="13" t="s">
        <v>96</v>
      </c>
      <c r="G106" s="6" t="n">
        <v>65000</v>
      </c>
      <c r="H106" s="6" t="n">
        <f aca="false">+G106*19%</f>
        <v>12350</v>
      </c>
      <c r="I106" s="6" t="n">
        <f aca="false">+G106+H106</f>
        <v>77350</v>
      </c>
      <c r="J106" s="7" t="n">
        <v>65000</v>
      </c>
      <c r="K106" s="7" t="n">
        <f aca="false">+J106*19%</f>
        <v>12350</v>
      </c>
      <c r="L106" s="7" t="n">
        <f aca="false">+J106+K106</f>
        <v>77350</v>
      </c>
      <c r="M106" s="7" t="n">
        <v>92857.1428571429</v>
      </c>
      <c r="N106" s="7" t="n">
        <f aca="false">+M106*19%</f>
        <v>17642.8571428572</v>
      </c>
      <c r="O106" s="7" t="n">
        <f aca="false">+M106+N106</f>
        <v>110500</v>
      </c>
    </row>
    <row r="107" customFormat="false" ht="14.25" hidden="false" customHeight="false" outlineLevel="0" collapsed="false">
      <c r="A107" s="4" t="s">
        <v>272</v>
      </c>
      <c r="B107" s="31" t="s">
        <v>273</v>
      </c>
      <c r="C107" s="14"/>
      <c r="D107" s="14"/>
      <c r="E107" s="10"/>
      <c r="F107" s="14" t="s">
        <v>274</v>
      </c>
      <c r="G107" s="6" t="n">
        <v>60000</v>
      </c>
      <c r="H107" s="6" t="n">
        <f aca="false">+G107*19%</f>
        <v>11400</v>
      </c>
      <c r="I107" s="6" t="n">
        <f aca="false">+G107+H107</f>
        <v>71400</v>
      </c>
      <c r="J107" s="7" t="n">
        <v>60000</v>
      </c>
      <c r="K107" s="7" t="n">
        <f aca="false">+J107*19%</f>
        <v>11400</v>
      </c>
      <c r="L107" s="7" t="n">
        <f aca="false">+J107+K107</f>
        <v>71400</v>
      </c>
      <c r="M107" s="7" t="n">
        <v>85714</v>
      </c>
      <c r="N107" s="7" t="n">
        <f aca="false">+M107*19%</f>
        <v>16285.66</v>
      </c>
      <c r="O107" s="7" t="n">
        <f aca="false">+M107+N107</f>
        <v>101999.66</v>
      </c>
    </row>
    <row r="108" customFormat="false" ht="14.25" hidden="false" customHeight="false" outlineLevel="0" collapsed="false">
      <c r="A108" s="4" t="s">
        <v>272</v>
      </c>
      <c r="B108" s="31" t="s">
        <v>275</v>
      </c>
      <c r="C108" s="31" t="s">
        <v>276</v>
      </c>
      <c r="D108" s="32" t="s">
        <v>277</v>
      </c>
      <c r="E108" s="10"/>
      <c r="F108" s="9"/>
      <c r="G108" s="6" t="n">
        <v>60000</v>
      </c>
      <c r="H108" s="6" t="n">
        <f aca="false">+G108*19%</f>
        <v>11400</v>
      </c>
      <c r="I108" s="6" t="n">
        <f aca="false">+G108+H108</f>
        <v>71400</v>
      </c>
      <c r="J108" s="7" t="n">
        <v>60000</v>
      </c>
      <c r="K108" s="7" t="n">
        <f aca="false">+J108*19%</f>
        <v>11400</v>
      </c>
      <c r="L108" s="7" t="n">
        <f aca="false">+J108+K108</f>
        <v>71400</v>
      </c>
      <c r="M108" s="7" t="n">
        <v>85714</v>
      </c>
      <c r="N108" s="7" t="n">
        <f aca="false">+M108*19%</f>
        <v>16285.66</v>
      </c>
      <c r="O108" s="7" t="n">
        <f aca="false">+M108+N108</f>
        <v>101999.66</v>
      </c>
    </row>
    <row r="109" customFormat="false" ht="14.25" hidden="false" customHeight="false" outlineLevel="0" collapsed="false">
      <c r="A109" s="4" t="s">
        <v>272</v>
      </c>
      <c r="B109" s="31" t="s">
        <v>278</v>
      </c>
      <c r="C109" s="31" t="s">
        <v>279</v>
      </c>
      <c r="D109" s="32"/>
      <c r="E109" s="10"/>
      <c r="F109" s="9"/>
      <c r="G109" s="6" t="n">
        <v>60000</v>
      </c>
      <c r="H109" s="6" t="n">
        <f aca="false">+G109*19%</f>
        <v>11400</v>
      </c>
      <c r="I109" s="6" t="n">
        <f aca="false">+G109+H109</f>
        <v>71400</v>
      </c>
      <c r="J109" s="7" t="n">
        <v>60000</v>
      </c>
      <c r="K109" s="7" t="n">
        <f aca="false">+J109*19%</f>
        <v>11400</v>
      </c>
      <c r="L109" s="7" t="n">
        <f aca="false">+J109+K109</f>
        <v>71400</v>
      </c>
      <c r="M109" s="7" t="n">
        <v>85714</v>
      </c>
      <c r="N109" s="7" t="n">
        <f aca="false">+M109*19%</f>
        <v>16285.66</v>
      </c>
      <c r="O109" s="7" t="n">
        <f aca="false">+M109+N109</f>
        <v>101999.66</v>
      </c>
    </row>
    <row r="110" customFormat="false" ht="15" hidden="false" customHeight="true" outlineLevel="0" collapsed="false">
      <c r="A110" s="4" t="s">
        <v>280</v>
      </c>
      <c r="B110" s="13" t="s">
        <v>239</v>
      </c>
      <c r="C110" s="13" t="s">
        <v>271</v>
      </c>
      <c r="D110" s="13" t="n">
        <v>2024031677</v>
      </c>
      <c r="E110" s="10"/>
      <c r="F110" s="13" t="s">
        <v>96</v>
      </c>
      <c r="G110" s="6" t="n">
        <v>65000</v>
      </c>
      <c r="H110" s="6" t="n">
        <f aca="false">+G110*19%</f>
        <v>12350</v>
      </c>
      <c r="I110" s="6" t="n">
        <f aca="false">+G110+H110</f>
        <v>77350</v>
      </c>
      <c r="J110" s="7" t="n">
        <v>65000</v>
      </c>
      <c r="K110" s="7" t="n">
        <f aca="false">+J110*19%</f>
        <v>12350</v>
      </c>
      <c r="L110" s="7" t="n">
        <f aca="false">+J110+K110</f>
        <v>77350</v>
      </c>
      <c r="M110" s="7" t="n">
        <v>92857.1428571429</v>
      </c>
      <c r="N110" s="7" t="n">
        <f aca="false">+M110*19%</f>
        <v>17642.8571428572</v>
      </c>
      <c r="O110" s="7" t="n">
        <f aca="false">+M110+N110</f>
        <v>110500</v>
      </c>
    </row>
    <row r="111" customFormat="false" ht="15" hidden="false" customHeight="true" outlineLevel="0" collapsed="false">
      <c r="A111" s="4" t="s">
        <v>280</v>
      </c>
      <c r="B111" s="13" t="s">
        <v>239</v>
      </c>
      <c r="C111" s="13" t="s">
        <v>271</v>
      </c>
      <c r="D111" s="13" t="n">
        <v>2024060487</v>
      </c>
      <c r="E111" s="10"/>
      <c r="F111" s="13" t="s">
        <v>96</v>
      </c>
      <c r="G111" s="6" t="n">
        <v>65000</v>
      </c>
      <c r="H111" s="6" t="n">
        <f aca="false">+G111*19%</f>
        <v>12350</v>
      </c>
      <c r="I111" s="6" t="n">
        <f aca="false">+G111+H111</f>
        <v>77350</v>
      </c>
      <c r="J111" s="7" t="n">
        <v>65000</v>
      </c>
      <c r="K111" s="7" t="n">
        <f aca="false">+J111*19%</f>
        <v>12350</v>
      </c>
      <c r="L111" s="7" t="n">
        <f aca="false">+J111+K111</f>
        <v>77350</v>
      </c>
      <c r="M111" s="7" t="n">
        <v>92857.1428571429</v>
      </c>
      <c r="N111" s="7" t="n">
        <f aca="false">+M111*19%</f>
        <v>17642.8571428572</v>
      </c>
      <c r="O111" s="7" t="n">
        <f aca="false">+M111+N111</f>
        <v>110500</v>
      </c>
    </row>
    <row r="112" customFormat="false" ht="15" hidden="false" customHeight="true" outlineLevel="0" collapsed="false">
      <c r="A112" s="4" t="s">
        <v>280</v>
      </c>
      <c r="B112" s="13" t="s">
        <v>239</v>
      </c>
      <c r="C112" s="13" t="s">
        <v>271</v>
      </c>
      <c r="D112" s="13" t="n">
        <v>2024032673</v>
      </c>
      <c r="E112" s="10"/>
      <c r="F112" s="13" t="s">
        <v>96</v>
      </c>
      <c r="G112" s="6" t="n">
        <v>65000</v>
      </c>
      <c r="H112" s="6" t="n">
        <f aca="false">+G112*19%</f>
        <v>12350</v>
      </c>
      <c r="I112" s="6" t="n">
        <f aca="false">+G112+H112</f>
        <v>77350</v>
      </c>
      <c r="J112" s="7" t="n">
        <v>65000</v>
      </c>
      <c r="K112" s="7" t="n">
        <f aca="false">+J112*19%</f>
        <v>12350</v>
      </c>
      <c r="L112" s="7" t="n">
        <f aca="false">+J112+K112</f>
        <v>77350</v>
      </c>
      <c r="M112" s="7" t="n">
        <v>92857.1428571429</v>
      </c>
      <c r="N112" s="7" t="n">
        <f aca="false">+M112*19%</f>
        <v>17642.8571428572</v>
      </c>
      <c r="O112" s="7" t="n">
        <f aca="false">+M112+N112</f>
        <v>110500</v>
      </c>
    </row>
    <row r="113" customFormat="false" ht="15" hidden="false" customHeight="true" outlineLevel="0" collapsed="false">
      <c r="A113" s="4" t="s">
        <v>280</v>
      </c>
      <c r="B113" s="13" t="s">
        <v>239</v>
      </c>
      <c r="C113" s="13" t="s">
        <v>271</v>
      </c>
      <c r="D113" s="13" t="n">
        <v>2025020192</v>
      </c>
      <c r="E113" s="10"/>
      <c r="F113" s="13" t="s">
        <v>96</v>
      </c>
      <c r="G113" s="6" t="n">
        <v>65000</v>
      </c>
      <c r="H113" s="6" t="n">
        <f aca="false">+G113*19%</f>
        <v>12350</v>
      </c>
      <c r="I113" s="6" t="n">
        <f aca="false">+G113+H113</f>
        <v>77350</v>
      </c>
      <c r="J113" s="7" t="n">
        <v>65000</v>
      </c>
      <c r="K113" s="7" t="n">
        <f aca="false">+J113*19%</f>
        <v>12350</v>
      </c>
      <c r="L113" s="7" t="n">
        <f aca="false">+J113+K113</f>
        <v>77350</v>
      </c>
      <c r="M113" s="7" t="n">
        <v>92857.1428571429</v>
      </c>
      <c r="N113" s="7" t="n">
        <f aca="false">+M113*19%</f>
        <v>17642.8571428572</v>
      </c>
      <c r="O113" s="7" t="n">
        <f aca="false">+M113+N113</f>
        <v>110500</v>
      </c>
    </row>
    <row r="114" customFormat="false" ht="15" hidden="false" customHeight="true" outlineLevel="0" collapsed="false">
      <c r="A114" s="4" t="s">
        <v>280</v>
      </c>
      <c r="B114" s="13" t="s">
        <v>239</v>
      </c>
      <c r="C114" s="13" t="s">
        <v>271</v>
      </c>
      <c r="D114" s="13" t="n">
        <v>2024031088</v>
      </c>
      <c r="E114" s="10"/>
      <c r="F114" s="13" t="s">
        <v>96</v>
      </c>
      <c r="G114" s="6" t="n">
        <v>65000</v>
      </c>
      <c r="H114" s="6" t="n">
        <f aca="false">+G114*19%</f>
        <v>12350</v>
      </c>
      <c r="I114" s="6" t="n">
        <f aca="false">+G114+H114</f>
        <v>77350</v>
      </c>
      <c r="J114" s="7" t="n">
        <v>65000</v>
      </c>
      <c r="K114" s="7" t="n">
        <f aca="false">+J114*19%</f>
        <v>12350</v>
      </c>
      <c r="L114" s="7" t="n">
        <f aca="false">+J114+K114</f>
        <v>77350</v>
      </c>
      <c r="M114" s="7" t="n">
        <v>92857.1428571429</v>
      </c>
      <c r="N114" s="7" t="n">
        <f aca="false">+M114*19%</f>
        <v>17642.8571428572</v>
      </c>
      <c r="O114" s="7" t="n">
        <f aca="false">+M114+N114</f>
        <v>110500</v>
      </c>
    </row>
    <row r="115" customFormat="false" ht="15" hidden="false" customHeight="true" outlineLevel="0" collapsed="false">
      <c r="A115" s="4" t="s">
        <v>280</v>
      </c>
      <c r="B115" s="13" t="s">
        <v>239</v>
      </c>
      <c r="C115" s="13" t="s">
        <v>271</v>
      </c>
      <c r="D115" s="13" t="n">
        <v>2024032669</v>
      </c>
      <c r="E115" s="10"/>
      <c r="F115" s="13" t="s">
        <v>96</v>
      </c>
      <c r="G115" s="6" t="n">
        <v>65000</v>
      </c>
      <c r="H115" s="6" t="n">
        <f aca="false">+G115*19%</f>
        <v>12350</v>
      </c>
      <c r="I115" s="6" t="n">
        <f aca="false">+G115+H115</f>
        <v>77350</v>
      </c>
      <c r="J115" s="7" t="n">
        <v>65000</v>
      </c>
      <c r="K115" s="7" t="n">
        <f aca="false">+J115*19%</f>
        <v>12350</v>
      </c>
      <c r="L115" s="7" t="n">
        <f aca="false">+J115+K115</f>
        <v>77350</v>
      </c>
      <c r="M115" s="7" t="n">
        <v>92857.1428571429</v>
      </c>
      <c r="N115" s="7" t="n">
        <f aca="false">+M115*19%</f>
        <v>17642.8571428572</v>
      </c>
      <c r="O115" s="7" t="n">
        <f aca="false">+M115+N115</f>
        <v>110500</v>
      </c>
    </row>
    <row r="116" customFormat="false" ht="15" hidden="false" customHeight="true" outlineLevel="0" collapsed="false">
      <c r="A116" s="4" t="s">
        <v>280</v>
      </c>
      <c r="B116" s="13" t="s">
        <v>239</v>
      </c>
      <c r="C116" s="13" t="s">
        <v>271</v>
      </c>
      <c r="D116" s="13" t="n">
        <v>2024031836</v>
      </c>
      <c r="E116" s="10"/>
      <c r="F116" s="13" t="s">
        <v>96</v>
      </c>
      <c r="G116" s="6" t="n">
        <v>65000</v>
      </c>
      <c r="H116" s="6" t="n">
        <f aca="false">+G116*19%</f>
        <v>12350</v>
      </c>
      <c r="I116" s="6" t="n">
        <f aca="false">+G116+H116</f>
        <v>77350</v>
      </c>
      <c r="J116" s="7" t="n">
        <v>65000</v>
      </c>
      <c r="K116" s="7" t="n">
        <f aca="false">+J116*19%</f>
        <v>12350</v>
      </c>
      <c r="L116" s="7" t="n">
        <f aca="false">+J116+K116</f>
        <v>77350</v>
      </c>
      <c r="M116" s="7" t="n">
        <v>92857.1428571429</v>
      </c>
      <c r="N116" s="7" t="n">
        <f aca="false">+M116*19%</f>
        <v>17642.8571428572</v>
      </c>
      <c r="O116" s="7" t="n">
        <f aca="false">+M116+N116</f>
        <v>110500</v>
      </c>
    </row>
    <row r="117" customFormat="false" ht="15" hidden="false" customHeight="true" outlineLevel="0" collapsed="false">
      <c r="A117" s="4" t="s">
        <v>280</v>
      </c>
      <c r="B117" s="13" t="s">
        <v>281</v>
      </c>
      <c r="C117" s="13" t="s">
        <v>282</v>
      </c>
      <c r="D117" s="13" t="n">
        <v>25021780</v>
      </c>
      <c r="E117" s="10"/>
      <c r="F117" s="13" t="s">
        <v>147</v>
      </c>
      <c r="G117" s="6" t="n">
        <v>65000</v>
      </c>
      <c r="H117" s="6" t="n">
        <f aca="false">+G117*19%</f>
        <v>12350</v>
      </c>
      <c r="I117" s="6" t="n">
        <f aca="false">+G117+H117</f>
        <v>77350</v>
      </c>
      <c r="J117" s="7" t="n">
        <v>65000</v>
      </c>
      <c r="K117" s="7" t="n">
        <f aca="false">+J117*19%</f>
        <v>12350</v>
      </c>
      <c r="L117" s="7" t="n">
        <f aca="false">+J117+K117</f>
        <v>77350</v>
      </c>
      <c r="M117" s="11" t="n">
        <v>137855</v>
      </c>
      <c r="N117" s="7" t="n">
        <f aca="false">+M117*19%</f>
        <v>26192.45</v>
      </c>
      <c r="O117" s="7" t="n">
        <f aca="false">+M117+N117</f>
        <v>164047.45</v>
      </c>
    </row>
    <row r="118" customFormat="false" ht="15" hidden="false" customHeight="true" outlineLevel="0" collapsed="false">
      <c r="A118" s="4" t="s">
        <v>283</v>
      </c>
      <c r="B118" s="13" t="s">
        <v>167</v>
      </c>
      <c r="C118" s="13"/>
      <c r="D118" s="29" t="n">
        <v>211016134608</v>
      </c>
      <c r="E118" s="10"/>
      <c r="F118" s="13" t="s">
        <v>85</v>
      </c>
      <c r="G118" s="6" t="n">
        <v>65000</v>
      </c>
      <c r="H118" s="6" t="n">
        <f aca="false">+G118*19%</f>
        <v>12350</v>
      </c>
      <c r="I118" s="6" t="n">
        <f aca="false">+G118+H118</f>
        <v>77350</v>
      </c>
      <c r="J118" s="7" t="n">
        <v>65000</v>
      </c>
      <c r="K118" s="7" t="n">
        <f aca="false">+J118*19%</f>
        <v>12350</v>
      </c>
      <c r="L118" s="7" t="n">
        <f aca="false">+J118+K118</f>
        <v>77350</v>
      </c>
      <c r="M118" s="7" t="n">
        <v>185195</v>
      </c>
      <c r="N118" s="7" t="n">
        <f aca="false">+M118*19%</f>
        <v>35187.05</v>
      </c>
      <c r="O118" s="7" t="n">
        <f aca="false">+M118+N118</f>
        <v>220382.05</v>
      </c>
    </row>
    <row r="119" customFormat="false" ht="15" hidden="false" customHeight="true" outlineLevel="0" collapsed="false">
      <c r="A119" s="4" t="s">
        <v>284</v>
      </c>
      <c r="B119" s="13" t="s">
        <v>285</v>
      </c>
      <c r="C119" s="13" t="s">
        <v>286</v>
      </c>
      <c r="D119" s="13" t="n">
        <v>241140644</v>
      </c>
      <c r="E119" s="10"/>
      <c r="F119" s="13" t="s">
        <v>261</v>
      </c>
      <c r="G119" s="6" t="n">
        <v>65000</v>
      </c>
      <c r="H119" s="6" t="n">
        <f aca="false">+G119*19%</f>
        <v>12350</v>
      </c>
      <c r="I119" s="6" t="n">
        <f aca="false">+G119+H119</f>
        <v>77350</v>
      </c>
      <c r="J119" s="7" t="n">
        <v>65000</v>
      </c>
      <c r="K119" s="7" t="n">
        <f aca="false">+J119*19%</f>
        <v>12350</v>
      </c>
      <c r="L119" s="7" t="n">
        <f aca="false">+J119+K119</f>
        <v>77350</v>
      </c>
      <c r="M119" s="7" t="n">
        <v>185195</v>
      </c>
      <c r="N119" s="7" t="n">
        <f aca="false">+M119*19%</f>
        <v>35187.05</v>
      </c>
      <c r="O119" s="7" t="n">
        <f aca="false">+M119+N119</f>
        <v>220382.05</v>
      </c>
    </row>
    <row r="120" customFormat="false" ht="14.25" hidden="false" customHeight="false" outlineLevel="0" collapsed="false">
      <c r="A120" s="4" t="s">
        <v>287</v>
      </c>
      <c r="B120" s="10" t="s">
        <v>288</v>
      </c>
      <c r="C120" s="9" t="s">
        <v>289</v>
      </c>
      <c r="D120" s="9" t="n">
        <v>15520</v>
      </c>
      <c r="E120" s="10"/>
      <c r="F120" s="9" t="s">
        <v>290</v>
      </c>
      <c r="G120" s="6" t="n">
        <v>65000</v>
      </c>
      <c r="H120" s="6" t="n">
        <f aca="false">+G120*19%</f>
        <v>12350</v>
      </c>
      <c r="I120" s="6" t="n">
        <f aca="false">+G120+H120</f>
        <v>77350</v>
      </c>
      <c r="J120" s="7" t="n">
        <v>65000</v>
      </c>
      <c r="K120" s="7" t="n">
        <f aca="false">+J120*19%</f>
        <v>12350</v>
      </c>
      <c r="L120" s="7" t="n">
        <f aca="false">+J120+K120</f>
        <v>77350</v>
      </c>
      <c r="M120" s="7" t="n">
        <v>185195</v>
      </c>
      <c r="N120" s="7" t="n">
        <f aca="false">+M120*19%</f>
        <v>35187.05</v>
      </c>
      <c r="O120" s="7" t="n">
        <f aca="false">+M120+N120</f>
        <v>220382.05</v>
      </c>
    </row>
    <row r="121" customFormat="false" ht="14.25" hidden="false" customHeight="false" outlineLevel="0" collapsed="false">
      <c r="A121" s="4" t="s">
        <v>291</v>
      </c>
      <c r="B121" s="10" t="s">
        <v>288</v>
      </c>
      <c r="C121" s="21" t="s">
        <v>292</v>
      </c>
      <c r="D121" s="22" t="s">
        <v>293</v>
      </c>
      <c r="E121" s="10"/>
      <c r="F121" s="21" t="s">
        <v>55</v>
      </c>
      <c r="G121" s="6" t="n">
        <v>65000</v>
      </c>
      <c r="H121" s="6" t="n">
        <f aca="false">+G121*19%</f>
        <v>12350</v>
      </c>
      <c r="I121" s="6" t="n">
        <f aca="false">+G121+H121</f>
        <v>77350</v>
      </c>
      <c r="J121" s="7" t="n">
        <v>65000</v>
      </c>
      <c r="K121" s="7" t="n">
        <f aca="false">+J121*19%</f>
        <v>12350</v>
      </c>
      <c r="L121" s="7" t="n">
        <f aca="false">+J121+K121</f>
        <v>77350</v>
      </c>
      <c r="M121" s="7" t="n">
        <v>185195</v>
      </c>
      <c r="N121" s="7" t="n">
        <f aca="false">+M121*19%</f>
        <v>35187.05</v>
      </c>
      <c r="O121" s="7" t="n">
        <f aca="false">+M121+N121</f>
        <v>220382.05</v>
      </c>
    </row>
    <row r="122" customFormat="false" ht="15" hidden="false" customHeight="true" outlineLevel="0" collapsed="false">
      <c r="A122" s="33" t="s">
        <v>291</v>
      </c>
      <c r="B122" s="34" t="s">
        <v>294</v>
      </c>
      <c r="C122" s="34" t="s">
        <v>289</v>
      </c>
      <c r="D122" s="34" t="n">
        <v>230700132</v>
      </c>
      <c r="E122" s="35"/>
      <c r="F122" s="34" t="s">
        <v>138</v>
      </c>
      <c r="G122" s="6" t="n">
        <v>65000</v>
      </c>
      <c r="H122" s="6" t="n">
        <f aca="false">+G122*19%</f>
        <v>12350</v>
      </c>
      <c r="I122" s="6" t="n">
        <f aca="false">+G122+H122</f>
        <v>77350</v>
      </c>
      <c r="J122" s="7" t="n">
        <v>65000</v>
      </c>
      <c r="K122" s="7" t="n">
        <f aca="false">+J122*19%</f>
        <v>12350</v>
      </c>
      <c r="L122" s="7" t="n">
        <f aca="false">+J122+K122</f>
        <v>77350</v>
      </c>
      <c r="M122" s="7" t="n">
        <v>185195</v>
      </c>
      <c r="N122" s="7" t="n">
        <f aca="false">+M122*19%</f>
        <v>35187.05</v>
      </c>
      <c r="O122" s="7" t="n">
        <f aca="false">+M122+N122</f>
        <v>220382.05</v>
      </c>
    </row>
    <row r="123" customFormat="false" ht="15" hidden="false" customHeight="true" outlineLevel="0" collapsed="false">
      <c r="A123" s="4" t="s">
        <v>295</v>
      </c>
      <c r="B123" s="13" t="s">
        <v>168</v>
      </c>
      <c r="C123" s="13" t="s">
        <v>296</v>
      </c>
      <c r="D123" s="13" t="s">
        <v>297</v>
      </c>
      <c r="E123" s="10"/>
      <c r="F123" s="13" t="s">
        <v>298</v>
      </c>
      <c r="G123" s="6" t="n">
        <v>65000</v>
      </c>
      <c r="H123" s="6" t="n">
        <f aca="false">+G123*19%</f>
        <v>12350</v>
      </c>
      <c r="I123" s="6" t="n">
        <f aca="false">+G123+H123</f>
        <v>77350</v>
      </c>
      <c r="J123" s="7" t="n">
        <v>65000</v>
      </c>
      <c r="K123" s="7" t="n">
        <f aca="false">+J123*19%</f>
        <v>12350</v>
      </c>
      <c r="L123" s="7" t="n">
        <f aca="false">+J123+K123</f>
        <v>77350</v>
      </c>
      <c r="M123" s="7" t="n">
        <v>141056</v>
      </c>
      <c r="N123" s="7" t="n">
        <f aca="false">+M123*19%</f>
        <v>26800.64</v>
      </c>
      <c r="O123" s="7" t="n">
        <f aca="false">+M123+N123</f>
        <v>167856.64</v>
      </c>
    </row>
    <row r="124" customFormat="false" ht="15" hidden="false" customHeight="true" outlineLevel="0" collapsed="false">
      <c r="A124" s="4" t="s">
        <v>295</v>
      </c>
      <c r="B124" s="13" t="s">
        <v>167</v>
      </c>
      <c r="C124" s="13" t="s">
        <v>299</v>
      </c>
      <c r="D124" s="13" t="s">
        <v>300</v>
      </c>
      <c r="E124" s="10"/>
      <c r="F124" s="13" t="s">
        <v>301</v>
      </c>
      <c r="G124" s="6" t="n">
        <v>65000</v>
      </c>
      <c r="H124" s="6" t="n">
        <f aca="false">+G124*19%</f>
        <v>12350</v>
      </c>
      <c r="I124" s="6" t="n">
        <f aca="false">+G124+H124</f>
        <v>77350</v>
      </c>
      <c r="J124" s="7" t="n">
        <v>65000</v>
      </c>
      <c r="K124" s="7" t="n">
        <f aca="false">+J124*19%</f>
        <v>12350</v>
      </c>
      <c r="L124" s="7" t="n">
        <f aca="false">+J124+K124</f>
        <v>77350</v>
      </c>
      <c r="M124" s="7" t="n">
        <v>137855</v>
      </c>
      <c r="N124" s="7" t="n">
        <f aca="false">+M124*19%</f>
        <v>26192.45</v>
      </c>
      <c r="O124" s="7" t="n">
        <f aca="false">+M124+N124</f>
        <v>164047.45</v>
      </c>
    </row>
    <row r="125" customFormat="false" ht="15" hidden="false" customHeight="true" outlineLevel="0" collapsed="false">
      <c r="A125" s="4" t="s">
        <v>295</v>
      </c>
      <c r="B125" s="13" t="s">
        <v>168</v>
      </c>
      <c r="C125" s="13" t="s">
        <v>296</v>
      </c>
      <c r="D125" s="13" t="n">
        <v>484683</v>
      </c>
      <c r="E125" s="10"/>
      <c r="F125" s="13" t="s">
        <v>301</v>
      </c>
      <c r="G125" s="6" t="n">
        <v>65000</v>
      </c>
      <c r="H125" s="6" t="n">
        <f aca="false">+G125*19%</f>
        <v>12350</v>
      </c>
      <c r="I125" s="6" t="n">
        <f aca="false">+G125+H125</f>
        <v>77350</v>
      </c>
      <c r="J125" s="7" t="n">
        <v>65000</v>
      </c>
      <c r="K125" s="7" t="n">
        <f aca="false">+J125*19%</f>
        <v>12350</v>
      </c>
      <c r="L125" s="7" t="n">
        <f aca="false">+J125+K125</f>
        <v>77350</v>
      </c>
      <c r="M125" s="7" t="n">
        <v>137855</v>
      </c>
      <c r="N125" s="7" t="n">
        <f aca="false">+M125*19%</f>
        <v>26192.45</v>
      </c>
      <c r="O125" s="7" t="n">
        <f aca="false">+M125+N125</f>
        <v>164047.45</v>
      </c>
    </row>
    <row r="126" customFormat="false" ht="15" hidden="false" customHeight="true" outlineLevel="0" collapsed="false">
      <c r="A126" s="13" t="s">
        <v>295</v>
      </c>
      <c r="B126" s="13" t="s">
        <v>168</v>
      </c>
      <c r="C126" s="13"/>
      <c r="D126" s="13" t="s">
        <v>302</v>
      </c>
      <c r="E126" s="10"/>
      <c r="F126" s="13" t="s">
        <v>303</v>
      </c>
      <c r="G126" s="6" t="n">
        <v>65000</v>
      </c>
      <c r="H126" s="6" t="n">
        <f aca="false">+G126*19%</f>
        <v>12350</v>
      </c>
      <c r="I126" s="6" t="n">
        <f aca="false">+G126+H126</f>
        <v>77350</v>
      </c>
      <c r="J126" s="7" t="n">
        <v>65000</v>
      </c>
      <c r="K126" s="7" t="n">
        <f aca="false">+J126*19%</f>
        <v>12350</v>
      </c>
      <c r="L126" s="7" t="n">
        <f aca="false">+J126+K126</f>
        <v>77350</v>
      </c>
      <c r="M126" s="7" t="n">
        <v>137855</v>
      </c>
      <c r="N126" s="7" t="n">
        <f aca="false">+M126*19%</f>
        <v>26192.45</v>
      </c>
      <c r="O126" s="7" t="n">
        <f aca="false">+M126+N126</f>
        <v>164047.45</v>
      </c>
    </row>
    <row r="127" customFormat="false" ht="15" hidden="false" customHeight="true" outlineLevel="0" collapsed="false">
      <c r="A127" s="4" t="s">
        <v>304</v>
      </c>
      <c r="B127" s="13" t="s">
        <v>305</v>
      </c>
      <c r="C127" s="13" t="s">
        <v>306</v>
      </c>
      <c r="D127" s="13" t="s">
        <v>296</v>
      </c>
      <c r="E127" s="10"/>
      <c r="F127" s="13" t="s">
        <v>298</v>
      </c>
      <c r="G127" s="6" t="n">
        <v>70000</v>
      </c>
      <c r="H127" s="6" t="n">
        <f aca="false">+G127*19%</f>
        <v>13300</v>
      </c>
      <c r="I127" s="6" t="n">
        <f aca="false">+G127+H127</f>
        <v>83300</v>
      </c>
      <c r="J127" s="7" t="n">
        <v>70000</v>
      </c>
      <c r="K127" s="7" t="n">
        <f aca="false">+J127*19%</f>
        <v>13300</v>
      </c>
      <c r="L127" s="7" t="n">
        <f aca="false">+J127+K127</f>
        <v>83300</v>
      </c>
      <c r="M127" s="7" t="n">
        <v>164750</v>
      </c>
      <c r="N127" s="7" t="n">
        <f aca="false">+M127*19%</f>
        <v>31302.5</v>
      </c>
      <c r="O127" s="7" t="n">
        <f aca="false">+M127+N127</f>
        <v>196052.5</v>
      </c>
    </row>
    <row r="128" customFormat="false" ht="15" hidden="false" customHeight="true" outlineLevel="0" collapsed="false">
      <c r="A128" s="4" t="s">
        <v>304</v>
      </c>
      <c r="B128" s="13" t="s">
        <v>307</v>
      </c>
      <c r="C128" s="13" t="s">
        <v>308</v>
      </c>
      <c r="D128" s="13" t="n">
        <v>2981</v>
      </c>
      <c r="E128" s="10"/>
      <c r="F128" s="13" t="s">
        <v>309</v>
      </c>
      <c r="G128" s="6" t="n">
        <v>70000</v>
      </c>
      <c r="H128" s="6" t="n">
        <f aca="false">+G128*19%</f>
        <v>13300</v>
      </c>
      <c r="I128" s="6" t="n">
        <f aca="false">+G128+H128</f>
        <v>83300</v>
      </c>
      <c r="J128" s="7" t="n">
        <v>65000</v>
      </c>
      <c r="K128" s="7" t="n">
        <f aca="false">+J128*19%</f>
        <v>12350</v>
      </c>
      <c r="L128" s="7" t="n">
        <f aca="false">+J128+K128</f>
        <v>77350</v>
      </c>
      <c r="M128" s="7" t="n">
        <v>185195</v>
      </c>
      <c r="N128" s="7" t="n">
        <f aca="false">+M128*19%</f>
        <v>35187.05</v>
      </c>
      <c r="O128" s="7" t="n">
        <f aca="false">+M128+N128</f>
        <v>220382.05</v>
      </c>
    </row>
    <row r="129" customFormat="false" ht="15" hidden="false" customHeight="true" outlineLevel="0" collapsed="false">
      <c r="A129" s="4" t="s">
        <v>304</v>
      </c>
      <c r="B129" s="13" t="s">
        <v>305</v>
      </c>
      <c r="C129" s="13" t="s">
        <v>306</v>
      </c>
      <c r="D129" s="13" t="s">
        <v>296</v>
      </c>
      <c r="E129" s="10"/>
      <c r="F129" s="13" t="s">
        <v>87</v>
      </c>
      <c r="G129" s="6" t="n">
        <v>70000</v>
      </c>
      <c r="H129" s="6" t="n">
        <f aca="false">+G129*19%</f>
        <v>13300</v>
      </c>
      <c r="I129" s="6" t="n">
        <f aca="false">+G129+H129</f>
        <v>83300</v>
      </c>
      <c r="J129" s="7" t="n">
        <v>70000</v>
      </c>
      <c r="K129" s="7" t="n">
        <f aca="false">+J129*19%</f>
        <v>13300</v>
      </c>
      <c r="L129" s="7" t="n">
        <f aca="false">+J129+K129</f>
        <v>83300</v>
      </c>
      <c r="M129" s="7" t="n">
        <v>164750</v>
      </c>
      <c r="N129" s="7" t="n">
        <f aca="false">+M129*19%</f>
        <v>31302.5</v>
      </c>
      <c r="O129" s="7" t="n">
        <f aca="false">+M129+N129</f>
        <v>196052.5</v>
      </c>
    </row>
    <row r="130" customFormat="false" ht="15" hidden="false" customHeight="true" outlineLevel="0" collapsed="false">
      <c r="A130" s="4" t="s">
        <v>304</v>
      </c>
      <c r="B130" s="13" t="s">
        <v>310</v>
      </c>
      <c r="C130" s="13" t="s">
        <v>311</v>
      </c>
      <c r="D130" s="13" t="s">
        <v>296</v>
      </c>
      <c r="E130" s="10"/>
      <c r="F130" s="13" t="s">
        <v>33</v>
      </c>
      <c r="G130" s="6" t="n">
        <v>70000</v>
      </c>
      <c r="H130" s="6" t="n">
        <f aca="false">+G130*19%</f>
        <v>13300</v>
      </c>
      <c r="I130" s="6" t="n">
        <f aca="false">+G130+H130</f>
        <v>83300</v>
      </c>
      <c r="J130" s="7" t="n">
        <v>70000</v>
      </c>
      <c r="K130" s="7" t="n">
        <f aca="false">+J130*19%</f>
        <v>13300</v>
      </c>
      <c r="L130" s="7" t="n">
        <f aca="false">+J130+K130</f>
        <v>83300</v>
      </c>
      <c r="M130" s="11" t="n">
        <v>164750</v>
      </c>
      <c r="N130" s="7" t="n">
        <f aca="false">+M130*19%</f>
        <v>31302.5</v>
      </c>
      <c r="O130" s="7" t="n">
        <f aca="false">+M130+N130</f>
        <v>196052.5</v>
      </c>
    </row>
    <row r="131" customFormat="false" ht="15" hidden="false" customHeight="true" outlineLevel="0" collapsed="false">
      <c r="A131" s="4" t="s">
        <v>304</v>
      </c>
      <c r="B131" s="13" t="s">
        <v>307</v>
      </c>
      <c r="C131" s="13" t="s">
        <v>308</v>
      </c>
      <c r="D131" s="13" t="s">
        <v>296</v>
      </c>
      <c r="E131" s="10"/>
      <c r="F131" s="13" t="s">
        <v>87</v>
      </c>
      <c r="G131" s="6" t="n">
        <v>70000</v>
      </c>
      <c r="H131" s="6" t="n">
        <f aca="false">+G131*19%</f>
        <v>13300</v>
      </c>
      <c r="I131" s="6" t="n">
        <f aca="false">+G131+H131</f>
        <v>83300</v>
      </c>
      <c r="J131" s="7" t="n">
        <v>65000</v>
      </c>
      <c r="K131" s="7" t="n">
        <f aca="false">+J131*19%</f>
        <v>12350</v>
      </c>
      <c r="L131" s="7" t="n">
        <f aca="false">+J131+K131</f>
        <v>77350</v>
      </c>
      <c r="M131" s="7" t="n">
        <v>185195</v>
      </c>
      <c r="N131" s="7" t="n">
        <f aca="false">+M131*19%</f>
        <v>35187.05</v>
      </c>
      <c r="O131" s="7" t="n">
        <f aca="false">+M131+N131</f>
        <v>220382.05</v>
      </c>
    </row>
    <row r="132" customFormat="false" ht="15" hidden="false" customHeight="true" outlineLevel="0" collapsed="false">
      <c r="A132" s="4" t="s">
        <v>304</v>
      </c>
      <c r="B132" s="13" t="s">
        <v>307</v>
      </c>
      <c r="C132" s="13" t="s">
        <v>308</v>
      </c>
      <c r="D132" s="13" t="s">
        <v>312</v>
      </c>
      <c r="E132" s="10"/>
      <c r="F132" s="13" t="s">
        <v>18</v>
      </c>
      <c r="G132" s="6" t="n">
        <v>70000</v>
      </c>
      <c r="H132" s="6" t="n">
        <f aca="false">+G132*19%</f>
        <v>13300</v>
      </c>
      <c r="I132" s="6" t="n">
        <f aca="false">+G132+H132</f>
        <v>83300</v>
      </c>
      <c r="J132" s="7" t="n">
        <v>65000</v>
      </c>
      <c r="K132" s="7" t="n">
        <f aca="false">+J132*19%</f>
        <v>12350</v>
      </c>
      <c r="L132" s="7" t="n">
        <f aca="false">+J132+K132</f>
        <v>77350</v>
      </c>
      <c r="M132" s="11" t="n">
        <v>185195</v>
      </c>
      <c r="N132" s="7" t="n">
        <f aca="false">+M132*19%</f>
        <v>35187.05</v>
      </c>
      <c r="O132" s="7" t="n">
        <f aca="false">+M132+N132</f>
        <v>220382.05</v>
      </c>
    </row>
    <row r="133" customFormat="false" ht="15" hidden="false" customHeight="true" outlineLevel="0" collapsed="false">
      <c r="A133" s="4" t="s">
        <v>304</v>
      </c>
      <c r="B133" s="13" t="s">
        <v>313</v>
      </c>
      <c r="C133" s="13" t="s">
        <v>311</v>
      </c>
      <c r="D133" s="13" t="s">
        <v>314</v>
      </c>
      <c r="E133" s="10"/>
      <c r="F133" s="13" t="s">
        <v>258</v>
      </c>
      <c r="G133" s="6" t="n">
        <v>70000</v>
      </c>
      <c r="H133" s="6" t="n">
        <f aca="false">+G133*19%</f>
        <v>13300</v>
      </c>
      <c r="I133" s="6" t="n">
        <f aca="false">+G133+H133</f>
        <v>83300</v>
      </c>
      <c r="J133" s="7" t="n">
        <v>65000</v>
      </c>
      <c r="K133" s="7" t="n">
        <f aca="false">+J133*19%</f>
        <v>12350</v>
      </c>
      <c r="L133" s="7" t="n">
        <f aca="false">+J133+K133</f>
        <v>77350</v>
      </c>
      <c r="M133" s="7" t="n">
        <v>185195</v>
      </c>
      <c r="N133" s="7" t="n">
        <f aca="false">+M133*19%</f>
        <v>35187.05</v>
      </c>
      <c r="O133" s="7" t="n">
        <f aca="false">+M133+N133</f>
        <v>220382.05</v>
      </c>
    </row>
    <row r="134" customFormat="false" ht="15" hidden="false" customHeight="true" outlineLevel="0" collapsed="false">
      <c r="A134" s="4" t="s">
        <v>304</v>
      </c>
      <c r="B134" s="13" t="s">
        <v>307</v>
      </c>
      <c r="C134" s="13" t="s">
        <v>308</v>
      </c>
      <c r="D134" s="13" t="s">
        <v>296</v>
      </c>
      <c r="E134" s="10"/>
      <c r="F134" s="13" t="s">
        <v>138</v>
      </c>
      <c r="G134" s="6" t="n">
        <v>70000</v>
      </c>
      <c r="H134" s="6" t="n">
        <f aca="false">+G134*19%</f>
        <v>13300</v>
      </c>
      <c r="I134" s="6" t="n">
        <f aca="false">+G134+H134</f>
        <v>83300</v>
      </c>
      <c r="J134" s="7" t="n">
        <v>65000</v>
      </c>
      <c r="K134" s="7" t="n">
        <f aca="false">+J134*19%</f>
        <v>12350</v>
      </c>
      <c r="L134" s="7" t="n">
        <f aca="false">+J134+K134</f>
        <v>77350</v>
      </c>
      <c r="M134" s="7" t="n">
        <v>185195</v>
      </c>
      <c r="N134" s="7" t="n">
        <f aca="false">+M134*19%</f>
        <v>35187.05</v>
      </c>
      <c r="O134" s="7" t="n">
        <f aca="false">+M134+N134</f>
        <v>220382.05</v>
      </c>
    </row>
    <row r="135" customFormat="false" ht="15" hidden="false" customHeight="true" outlineLevel="0" collapsed="false">
      <c r="A135" s="4" t="s">
        <v>304</v>
      </c>
      <c r="B135" s="13" t="s">
        <v>307</v>
      </c>
      <c r="C135" s="13" t="s">
        <v>315</v>
      </c>
      <c r="D135" s="13" t="n">
        <v>6891</v>
      </c>
      <c r="E135" s="10"/>
      <c r="F135" s="13" t="s">
        <v>79</v>
      </c>
      <c r="G135" s="6" t="n">
        <v>70000</v>
      </c>
      <c r="H135" s="6" t="n">
        <f aca="false">+G135*19%</f>
        <v>13300</v>
      </c>
      <c r="I135" s="6" t="n">
        <f aca="false">+G135+H135</f>
        <v>83300</v>
      </c>
      <c r="J135" s="7" t="n">
        <v>70000</v>
      </c>
      <c r="K135" s="7" t="n">
        <f aca="false">+J135*19%</f>
        <v>13300</v>
      </c>
      <c r="L135" s="7" t="n">
        <f aca="false">+J135+K135</f>
        <v>83300</v>
      </c>
      <c r="M135" s="7" t="n">
        <v>164750</v>
      </c>
      <c r="N135" s="7" t="n">
        <f aca="false">+M135*19%</f>
        <v>31302.5</v>
      </c>
      <c r="O135" s="7" t="n">
        <f aca="false">+M135+N135</f>
        <v>196052.5</v>
      </c>
    </row>
    <row r="136" customFormat="false" ht="15" hidden="false" customHeight="true" outlineLevel="0" collapsed="false">
      <c r="A136" s="4" t="s">
        <v>304</v>
      </c>
      <c r="B136" s="13" t="s">
        <v>307</v>
      </c>
      <c r="C136" s="13" t="s">
        <v>308</v>
      </c>
      <c r="D136" s="13" t="n">
        <v>23012617151</v>
      </c>
      <c r="E136" s="10"/>
      <c r="F136" s="13" t="s">
        <v>316</v>
      </c>
      <c r="G136" s="6" t="n">
        <v>70000</v>
      </c>
      <c r="H136" s="6" t="n">
        <f aca="false">+G136*19%</f>
        <v>13300</v>
      </c>
      <c r="I136" s="6" t="n">
        <f aca="false">+G136+H136</f>
        <v>83300</v>
      </c>
      <c r="J136" s="7" t="n">
        <v>65000</v>
      </c>
      <c r="K136" s="7" t="n">
        <f aca="false">+J136*19%</f>
        <v>12350</v>
      </c>
      <c r="L136" s="7" t="n">
        <f aca="false">+J136+K136</f>
        <v>77350</v>
      </c>
      <c r="M136" s="7" t="n">
        <v>185195</v>
      </c>
      <c r="N136" s="7" t="n">
        <f aca="false">+M136*19%</f>
        <v>35187.05</v>
      </c>
      <c r="O136" s="7" t="n">
        <f aca="false">+M136+N136</f>
        <v>220382.05</v>
      </c>
    </row>
    <row r="137" customFormat="false" ht="15" hidden="false" customHeight="true" outlineLevel="0" collapsed="false">
      <c r="A137" s="4" t="s">
        <v>304</v>
      </c>
      <c r="B137" s="13" t="s">
        <v>307</v>
      </c>
      <c r="C137" s="13" t="s">
        <v>308</v>
      </c>
      <c r="D137" s="13" t="n">
        <v>150502753</v>
      </c>
      <c r="E137" s="10"/>
      <c r="F137" s="13" t="s">
        <v>33</v>
      </c>
      <c r="G137" s="6" t="n">
        <v>70000</v>
      </c>
      <c r="H137" s="6" t="n">
        <f aca="false">+G137*19%</f>
        <v>13300</v>
      </c>
      <c r="I137" s="6" t="n">
        <f aca="false">+G137+H137</f>
        <v>83300</v>
      </c>
      <c r="J137" s="7" t="n">
        <v>65000</v>
      </c>
      <c r="K137" s="7" t="n">
        <f aca="false">+J137*19%</f>
        <v>12350</v>
      </c>
      <c r="L137" s="7" t="n">
        <f aca="false">+J137+K137</f>
        <v>77350</v>
      </c>
      <c r="M137" s="7" t="n">
        <v>164750</v>
      </c>
      <c r="N137" s="7" t="n">
        <f aca="false">+M137*19%</f>
        <v>31302.5</v>
      </c>
      <c r="O137" s="7" t="n">
        <f aca="false">+M137+N137</f>
        <v>196052.5</v>
      </c>
    </row>
    <row r="138" customFormat="false" ht="15" hidden="false" customHeight="true" outlineLevel="0" collapsed="false">
      <c r="A138" s="4" t="s">
        <v>304</v>
      </c>
      <c r="B138" s="13" t="s">
        <v>307</v>
      </c>
      <c r="C138" s="13" t="s">
        <v>317</v>
      </c>
      <c r="D138" s="13" t="s">
        <v>296</v>
      </c>
      <c r="E138" s="10"/>
      <c r="F138" s="13" t="s">
        <v>318</v>
      </c>
      <c r="G138" s="6" t="n">
        <v>70000</v>
      </c>
      <c r="H138" s="6" t="n">
        <f aca="false">+G138*19%</f>
        <v>13300</v>
      </c>
      <c r="I138" s="6" t="n">
        <f aca="false">+G138+H138</f>
        <v>83300</v>
      </c>
      <c r="J138" s="11" t="n">
        <v>70000</v>
      </c>
      <c r="K138" s="7" t="n">
        <f aca="false">+J138*19%</f>
        <v>13300</v>
      </c>
      <c r="L138" s="7" t="n">
        <f aca="false">+J138+K138</f>
        <v>83300</v>
      </c>
      <c r="M138" s="11" t="n">
        <v>164750</v>
      </c>
      <c r="N138" s="7" t="n">
        <f aca="false">+M138*19%</f>
        <v>31302.5</v>
      </c>
      <c r="O138" s="7" t="n">
        <f aca="false">+M138+N138</f>
        <v>196052.5</v>
      </c>
    </row>
    <row r="139" customFormat="false" ht="14.25" hidden="false" customHeight="false" outlineLevel="0" collapsed="false">
      <c r="A139" s="4" t="s">
        <v>319</v>
      </c>
      <c r="B139" s="5" t="s">
        <v>320</v>
      </c>
      <c r="C139" s="5" t="s">
        <v>321</v>
      </c>
      <c r="D139" s="5"/>
      <c r="E139" s="5"/>
      <c r="F139" s="5" t="s">
        <v>30</v>
      </c>
      <c r="G139" s="6" t="n">
        <v>65000</v>
      </c>
      <c r="H139" s="6" t="n">
        <f aca="false">+G139*19%</f>
        <v>12350</v>
      </c>
      <c r="I139" s="6" t="n">
        <f aca="false">+G139+H139</f>
        <v>77350</v>
      </c>
      <c r="J139" s="7" t="n">
        <v>65000</v>
      </c>
      <c r="K139" s="7" t="n">
        <f aca="false">+J139*19%</f>
        <v>12350</v>
      </c>
      <c r="L139" s="7" t="n">
        <f aca="false">+J139+K139</f>
        <v>77350</v>
      </c>
      <c r="M139" s="7" t="n">
        <v>119166.666666667</v>
      </c>
      <c r="N139" s="7" t="n">
        <f aca="false">+M139*19%</f>
        <v>22641.6666666667</v>
      </c>
      <c r="O139" s="7" t="n">
        <f aca="false">+M139+N139</f>
        <v>141808.333333334</v>
      </c>
    </row>
    <row r="140" customFormat="false" ht="15.65" hidden="false" customHeight="false" outlineLevel="0" collapsed="false">
      <c r="A140" s="4" t="s">
        <v>322</v>
      </c>
      <c r="B140" s="8" t="s">
        <v>323</v>
      </c>
      <c r="C140" s="9" t="s">
        <v>324</v>
      </c>
      <c r="D140" s="9" t="s">
        <v>325</v>
      </c>
      <c r="E140" s="10"/>
      <c r="F140" s="9"/>
      <c r="G140" s="6" t="n">
        <v>65000</v>
      </c>
      <c r="H140" s="6" t="n">
        <f aca="false">+G140*19%</f>
        <v>12350</v>
      </c>
      <c r="I140" s="6" t="n">
        <f aca="false">+G140+H140</f>
        <v>77350</v>
      </c>
      <c r="J140" s="7" t="n">
        <v>70000</v>
      </c>
      <c r="K140" s="7" t="n">
        <f aca="false">+J140*19%</f>
        <v>13300</v>
      </c>
      <c r="L140" s="7" t="n">
        <f aca="false">+J140+K140</f>
        <v>83300</v>
      </c>
      <c r="M140" s="7" t="n">
        <v>164750</v>
      </c>
      <c r="N140" s="7" t="n">
        <f aca="false">+M140*19%</f>
        <v>31302.5</v>
      </c>
      <c r="O140" s="7" t="n">
        <f aca="false">+M140+N140</f>
        <v>196052.5</v>
      </c>
    </row>
    <row r="141" customFormat="false" ht="15.65" hidden="false" customHeight="false" outlineLevel="0" collapsed="false">
      <c r="A141" s="4" t="s">
        <v>322</v>
      </c>
      <c r="B141" s="8" t="s">
        <v>323</v>
      </c>
      <c r="C141" s="9" t="s">
        <v>324</v>
      </c>
      <c r="D141" s="9" t="s">
        <v>326</v>
      </c>
      <c r="E141" s="10"/>
      <c r="F141" s="9" t="s">
        <v>87</v>
      </c>
      <c r="G141" s="6" t="n">
        <v>65000</v>
      </c>
      <c r="H141" s="6" t="n">
        <f aca="false">+G141*19%</f>
        <v>12350</v>
      </c>
      <c r="I141" s="6" t="n">
        <f aca="false">+G141+H141</f>
        <v>77350</v>
      </c>
      <c r="J141" s="7" t="n">
        <v>70000</v>
      </c>
      <c r="K141" s="7" t="n">
        <f aca="false">+J141*19%</f>
        <v>13300</v>
      </c>
      <c r="L141" s="7" t="n">
        <f aca="false">+J141+K141</f>
        <v>83300</v>
      </c>
      <c r="M141" s="7" t="n">
        <v>164750</v>
      </c>
      <c r="N141" s="7" t="n">
        <f aca="false">+M141*19%</f>
        <v>31302.5</v>
      </c>
      <c r="O141" s="7" t="n">
        <f aca="false">+M141+N141</f>
        <v>196052.5</v>
      </c>
    </row>
    <row r="142" customFormat="false" ht="15" hidden="false" customHeight="true" outlineLevel="0" collapsed="false">
      <c r="A142" s="4" t="s">
        <v>327</v>
      </c>
      <c r="B142" s="13" t="s">
        <v>328</v>
      </c>
      <c r="C142" s="13" t="s">
        <v>329</v>
      </c>
      <c r="D142" s="13" t="s">
        <v>330</v>
      </c>
      <c r="E142" s="10"/>
      <c r="F142" s="13" t="s">
        <v>96</v>
      </c>
      <c r="G142" s="6" t="n">
        <v>65000</v>
      </c>
      <c r="H142" s="6" t="n">
        <f aca="false">+G142*19%</f>
        <v>12350</v>
      </c>
      <c r="I142" s="6" t="n">
        <f aca="false">+G142+H142</f>
        <v>77350</v>
      </c>
      <c r="J142" s="7" t="n">
        <v>65000</v>
      </c>
      <c r="K142" s="7" t="n">
        <f aca="false">+J142*19%</f>
        <v>12350</v>
      </c>
      <c r="L142" s="7" t="n">
        <f aca="false">+J142+K142</f>
        <v>77350</v>
      </c>
      <c r="M142" s="11" t="n">
        <v>100000</v>
      </c>
      <c r="N142" s="7" t="n">
        <f aca="false">+M142*19%</f>
        <v>19000</v>
      </c>
      <c r="O142" s="7" t="n">
        <f aca="false">+M142+N142</f>
        <v>119000</v>
      </c>
    </row>
    <row r="143" customFormat="false" ht="15" hidden="false" customHeight="true" outlineLevel="0" collapsed="false">
      <c r="A143" s="4" t="s">
        <v>327</v>
      </c>
      <c r="B143" s="13" t="s">
        <v>328</v>
      </c>
      <c r="C143" s="13" t="s">
        <v>329</v>
      </c>
      <c r="D143" s="13" t="s">
        <v>331</v>
      </c>
      <c r="E143" s="10"/>
      <c r="F143" s="13" t="s">
        <v>96</v>
      </c>
      <c r="G143" s="6" t="n">
        <v>65000</v>
      </c>
      <c r="H143" s="6" t="n">
        <f aca="false">+G143*19%</f>
        <v>12350</v>
      </c>
      <c r="I143" s="6" t="n">
        <f aca="false">+G143+H143</f>
        <v>77350</v>
      </c>
      <c r="J143" s="7" t="n">
        <v>65000</v>
      </c>
      <c r="K143" s="7" t="n">
        <f aca="false">+J143*19%</f>
        <v>12350</v>
      </c>
      <c r="L143" s="7" t="n">
        <f aca="false">+J143+K143</f>
        <v>77350</v>
      </c>
      <c r="M143" s="7" t="n">
        <v>100000</v>
      </c>
      <c r="N143" s="7" t="n">
        <f aca="false">+M143*19%</f>
        <v>19000</v>
      </c>
      <c r="O143" s="7" t="n">
        <f aca="false">+M143+N143</f>
        <v>119000</v>
      </c>
    </row>
    <row r="144" customFormat="false" ht="15" hidden="false" customHeight="true" outlineLevel="0" collapsed="false">
      <c r="A144" s="4" t="s">
        <v>327</v>
      </c>
      <c r="B144" s="13" t="s">
        <v>328</v>
      </c>
      <c r="C144" s="13" t="s">
        <v>329</v>
      </c>
      <c r="D144" s="13" t="s">
        <v>332</v>
      </c>
      <c r="E144" s="10"/>
      <c r="F144" s="13" t="s">
        <v>96</v>
      </c>
      <c r="G144" s="6" t="n">
        <v>65000</v>
      </c>
      <c r="H144" s="6" t="n">
        <f aca="false">+G144*19%</f>
        <v>12350</v>
      </c>
      <c r="I144" s="6" t="n">
        <f aca="false">+G144+H144</f>
        <v>77350</v>
      </c>
      <c r="J144" s="7" t="n">
        <v>65000</v>
      </c>
      <c r="K144" s="7" t="n">
        <f aca="false">+J144*19%</f>
        <v>12350</v>
      </c>
      <c r="L144" s="7" t="n">
        <f aca="false">+J144+K144</f>
        <v>77350</v>
      </c>
      <c r="M144" s="7" t="n">
        <v>100000</v>
      </c>
      <c r="N144" s="7" t="n">
        <f aca="false">+M144*19%</f>
        <v>19000</v>
      </c>
      <c r="O144" s="7" t="n">
        <f aca="false">+M144+N144</f>
        <v>119000</v>
      </c>
    </row>
    <row r="145" customFormat="false" ht="15" hidden="false" customHeight="true" outlineLevel="0" collapsed="false">
      <c r="A145" s="4" t="s">
        <v>327</v>
      </c>
      <c r="B145" s="13" t="s">
        <v>328</v>
      </c>
      <c r="C145" s="13" t="s">
        <v>329</v>
      </c>
      <c r="D145" s="13" t="s">
        <v>333</v>
      </c>
      <c r="E145" s="10"/>
      <c r="F145" s="13" t="s">
        <v>96</v>
      </c>
      <c r="G145" s="6" t="n">
        <v>65000</v>
      </c>
      <c r="H145" s="6" t="n">
        <f aca="false">+G145*19%</f>
        <v>12350</v>
      </c>
      <c r="I145" s="6" t="n">
        <f aca="false">+G145+H145</f>
        <v>77350</v>
      </c>
      <c r="J145" s="7" t="n">
        <v>65000</v>
      </c>
      <c r="K145" s="7" t="n">
        <f aca="false">+J145*19%</f>
        <v>12350</v>
      </c>
      <c r="L145" s="7" t="n">
        <f aca="false">+J145+K145</f>
        <v>77350</v>
      </c>
      <c r="M145" s="7" t="n">
        <v>100000</v>
      </c>
      <c r="N145" s="7" t="n">
        <f aca="false">+M145*19%</f>
        <v>19000</v>
      </c>
      <c r="O145" s="7" t="n">
        <f aca="false">+M145+N145</f>
        <v>119000</v>
      </c>
    </row>
    <row r="146" customFormat="false" ht="14.25" hidden="false" customHeight="false" outlineLevel="0" collapsed="false">
      <c r="A146" s="36" t="s">
        <v>334</v>
      </c>
      <c r="B146" s="5" t="s">
        <v>335</v>
      </c>
      <c r="C146" s="5" t="s">
        <v>336</v>
      </c>
      <c r="D146" s="5"/>
      <c r="E146" s="5"/>
      <c r="F146" s="5" t="s">
        <v>115</v>
      </c>
      <c r="G146" s="6" t="n">
        <v>350000</v>
      </c>
      <c r="H146" s="6" t="n">
        <f aca="false">+G146*19%</f>
        <v>66500</v>
      </c>
      <c r="I146" s="6" t="n">
        <f aca="false">+G146+H146</f>
        <v>416500</v>
      </c>
      <c r="J146" s="7" t="n">
        <v>350000</v>
      </c>
      <c r="K146" s="7" t="n">
        <f aca="false">+J146*19%</f>
        <v>66500</v>
      </c>
      <c r="L146" s="7" t="n">
        <f aca="false">+J146+K146</f>
        <v>416500</v>
      </c>
      <c r="M146" s="7" t="n">
        <v>641666.666666667</v>
      </c>
      <c r="N146" s="7" t="n">
        <f aca="false">+M146*19%</f>
        <v>121916.666666667</v>
      </c>
      <c r="O146" s="7" t="n">
        <f aca="false">+M146+N146</f>
        <v>763583.333333334</v>
      </c>
    </row>
    <row r="147" customFormat="false" ht="14.25" hidden="false" customHeight="false" outlineLevel="0" collapsed="false">
      <c r="A147" s="4" t="s">
        <v>334</v>
      </c>
      <c r="B147" s="5" t="s">
        <v>335</v>
      </c>
      <c r="C147" s="5" t="s">
        <v>336</v>
      </c>
      <c r="D147" s="5"/>
      <c r="E147" s="5"/>
      <c r="F147" s="5" t="s">
        <v>30</v>
      </c>
      <c r="G147" s="6" t="n">
        <v>350000</v>
      </c>
      <c r="H147" s="6" t="n">
        <f aca="false">+G147*19%</f>
        <v>66500</v>
      </c>
      <c r="I147" s="6" t="n">
        <f aca="false">+G147+H147</f>
        <v>416500</v>
      </c>
      <c r="J147" s="7" t="n">
        <v>350000</v>
      </c>
      <c r="K147" s="7" t="n">
        <f aca="false">+J147*19%</f>
        <v>66500</v>
      </c>
      <c r="L147" s="7" t="n">
        <f aca="false">+J147+K147</f>
        <v>416500</v>
      </c>
      <c r="M147" s="7" t="n">
        <v>641666.666666667</v>
      </c>
      <c r="N147" s="7" t="n">
        <f aca="false">+M147*19%</f>
        <v>121916.666666667</v>
      </c>
      <c r="O147" s="7" t="n">
        <f aca="false">+M147+N147</f>
        <v>763583.333333334</v>
      </c>
    </row>
    <row r="148" customFormat="false" ht="14.25" hidden="false" customHeight="false" outlineLevel="0" collapsed="false">
      <c r="A148" s="4" t="s">
        <v>334</v>
      </c>
      <c r="B148" s="5" t="s">
        <v>335</v>
      </c>
      <c r="C148" s="5" t="s">
        <v>336</v>
      </c>
      <c r="D148" s="5"/>
      <c r="E148" s="5"/>
      <c r="F148" s="5" t="s">
        <v>30</v>
      </c>
      <c r="G148" s="6" t="n">
        <v>350000</v>
      </c>
      <c r="H148" s="6" t="n">
        <f aca="false">+G148*19%</f>
        <v>66500</v>
      </c>
      <c r="I148" s="6" t="n">
        <f aca="false">+G148+H148</f>
        <v>416500</v>
      </c>
      <c r="J148" s="7" t="n">
        <v>350000</v>
      </c>
      <c r="K148" s="7" t="n">
        <f aca="false">+J148*19%</f>
        <v>66500</v>
      </c>
      <c r="L148" s="7" t="n">
        <f aca="false">+J148+K148</f>
        <v>416500</v>
      </c>
      <c r="M148" s="7" t="n">
        <v>641666.666666667</v>
      </c>
      <c r="N148" s="7" t="n">
        <f aca="false">+M148*19%</f>
        <v>121916.666666667</v>
      </c>
      <c r="O148" s="7" t="n">
        <f aca="false">+M148+N148</f>
        <v>763583.333333334</v>
      </c>
    </row>
    <row r="149" customFormat="false" ht="14.25" hidden="false" customHeight="false" outlineLevel="0" collapsed="false">
      <c r="A149" s="4" t="s">
        <v>337</v>
      </c>
      <c r="B149" s="5" t="s">
        <v>335</v>
      </c>
      <c r="C149" s="5" t="s">
        <v>336</v>
      </c>
      <c r="D149" s="5"/>
      <c r="E149" s="5"/>
      <c r="F149" s="5" t="s">
        <v>30</v>
      </c>
      <c r="G149" s="6" t="n">
        <v>350000</v>
      </c>
      <c r="H149" s="6" t="n">
        <f aca="false">+G149*19%</f>
        <v>66500</v>
      </c>
      <c r="I149" s="6" t="n">
        <f aca="false">+G149+H149</f>
        <v>416500</v>
      </c>
      <c r="J149" s="7" t="n">
        <v>350000</v>
      </c>
      <c r="K149" s="7" t="n">
        <f aca="false">+J149*19%</f>
        <v>66500</v>
      </c>
      <c r="L149" s="7" t="n">
        <f aca="false">+J149+K149</f>
        <v>416500</v>
      </c>
      <c r="M149" s="7" t="n">
        <v>641666.666666667</v>
      </c>
      <c r="N149" s="7" t="n">
        <f aca="false">+M149*19%</f>
        <v>121916.666666667</v>
      </c>
      <c r="O149" s="7" t="n">
        <f aca="false">+M149+N149</f>
        <v>763583.333333334</v>
      </c>
    </row>
    <row r="150" customFormat="false" ht="14.25" hidden="false" customHeight="false" outlineLevel="0" collapsed="false">
      <c r="A150" s="4" t="s">
        <v>337</v>
      </c>
      <c r="B150" s="5" t="s">
        <v>335</v>
      </c>
      <c r="C150" s="5" t="s">
        <v>336</v>
      </c>
      <c r="D150" s="5"/>
      <c r="E150" s="5"/>
      <c r="F150" s="5" t="s">
        <v>30</v>
      </c>
      <c r="G150" s="6" t="n">
        <v>350000</v>
      </c>
      <c r="H150" s="6" t="n">
        <f aca="false">+G150*19%</f>
        <v>66500</v>
      </c>
      <c r="I150" s="6" t="n">
        <f aca="false">+G150+H150</f>
        <v>416500</v>
      </c>
      <c r="J150" s="7" t="n">
        <v>350000</v>
      </c>
      <c r="K150" s="7" t="n">
        <f aca="false">+J150*19%</f>
        <v>66500</v>
      </c>
      <c r="L150" s="7" t="n">
        <f aca="false">+J150+K150</f>
        <v>416500</v>
      </c>
      <c r="M150" s="7" t="n">
        <v>641666.666666667</v>
      </c>
      <c r="N150" s="7" t="n">
        <f aca="false">+M150*19%</f>
        <v>121916.666666667</v>
      </c>
      <c r="O150" s="7" t="n">
        <f aca="false">+M150+N150</f>
        <v>763583.333333334</v>
      </c>
    </row>
    <row r="151" customFormat="false" ht="14.25" hidden="false" customHeight="false" outlineLevel="0" collapsed="false">
      <c r="A151" s="4" t="s">
        <v>337</v>
      </c>
      <c r="B151" s="5" t="s">
        <v>335</v>
      </c>
      <c r="C151" s="5" t="s">
        <v>336</v>
      </c>
      <c r="D151" s="5"/>
      <c r="E151" s="5"/>
      <c r="F151" s="5" t="s">
        <v>30</v>
      </c>
      <c r="G151" s="6" t="n">
        <v>350000</v>
      </c>
      <c r="H151" s="6" t="n">
        <f aca="false">+G151*19%</f>
        <v>66500</v>
      </c>
      <c r="I151" s="6" t="n">
        <f aca="false">+G151+H151</f>
        <v>416500</v>
      </c>
      <c r="J151" s="7" t="n">
        <v>350000</v>
      </c>
      <c r="K151" s="7" t="n">
        <f aca="false">+J151*19%</f>
        <v>66500</v>
      </c>
      <c r="L151" s="7" t="n">
        <f aca="false">+J151+K151</f>
        <v>416500</v>
      </c>
      <c r="M151" s="7" t="n">
        <v>641666.666666667</v>
      </c>
      <c r="N151" s="7" t="n">
        <f aca="false">+M151*19%</f>
        <v>121916.666666667</v>
      </c>
      <c r="O151" s="7" t="n">
        <f aca="false">+M151+N151</f>
        <v>763583.333333334</v>
      </c>
    </row>
    <row r="152" customFormat="false" ht="14.25" hidden="false" customHeight="false" outlineLevel="0" collapsed="false">
      <c r="A152" s="4" t="s">
        <v>337</v>
      </c>
      <c r="B152" s="5" t="s">
        <v>335</v>
      </c>
      <c r="C152" s="5" t="s">
        <v>336</v>
      </c>
      <c r="D152" s="5"/>
      <c r="E152" s="5"/>
      <c r="F152" s="5" t="s">
        <v>30</v>
      </c>
      <c r="G152" s="6" t="n">
        <v>350000</v>
      </c>
      <c r="H152" s="6" t="n">
        <f aca="false">+G152*19%</f>
        <v>66500</v>
      </c>
      <c r="I152" s="6" t="n">
        <f aca="false">+G152+H152</f>
        <v>416500</v>
      </c>
      <c r="J152" s="7" t="n">
        <v>350000</v>
      </c>
      <c r="K152" s="7" t="n">
        <f aca="false">+J152*19%</f>
        <v>66500</v>
      </c>
      <c r="L152" s="7" t="n">
        <f aca="false">+J152+K152</f>
        <v>416500</v>
      </c>
      <c r="M152" s="7" t="n">
        <v>641666.666666667</v>
      </c>
      <c r="N152" s="7" t="n">
        <f aca="false">+M152*19%</f>
        <v>121916.666666667</v>
      </c>
      <c r="O152" s="7" t="n">
        <f aca="false">+M152+N152</f>
        <v>763583.333333334</v>
      </c>
    </row>
    <row r="153" customFormat="false" ht="15.65" hidden="false" customHeight="false" outlineLevel="0" collapsed="false">
      <c r="A153" s="4" t="s">
        <v>338</v>
      </c>
      <c r="B153" s="8" t="s">
        <v>339</v>
      </c>
      <c r="C153" s="9" t="n">
        <v>60813</v>
      </c>
      <c r="D153" s="9"/>
      <c r="E153" s="10"/>
      <c r="F153" s="9"/>
      <c r="G153" s="6" t="n">
        <v>55000</v>
      </c>
      <c r="H153" s="6" t="n">
        <f aca="false">+G153*19%</f>
        <v>10450</v>
      </c>
      <c r="I153" s="6" t="n">
        <f aca="false">+G153+H153</f>
        <v>65450</v>
      </c>
      <c r="J153" s="12"/>
      <c r="K153" s="12" t="n">
        <f aca="false">+J153*19%</f>
        <v>0</v>
      </c>
      <c r="L153" s="12" t="n">
        <f aca="false">+J153+K153</f>
        <v>0</v>
      </c>
      <c r="M153" s="12"/>
      <c r="N153" s="12" t="n">
        <f aca="false">+M153*19%</f>
        <v>0</v>
      </c>
      <c r="O153" s="12" t="n">
        <f aca="false">+M153+N153</f>
        <v>0</v>
      </c>
    </row>
    <row r="154" customFormat="false" ht="15" hidden="false" customHeight="true" outlineLevel="0" collapsed="false">
      <c r="A154" s="4" t="s">
        <v>338</v>
      </c>
      <c r="B154" s="8" t="s">
        <v>339</v>
      </c>
      <c r="C154" s="9" t="n">
        <v>69064</v>
      </c>
      <c r="D154" s="9"/>
      <c r="E154" s="10"/>
      <c r="F154" s="13" t="s">
        <v>87</v>
      </c>
      <c r="G154" s="6" t="n">
        <v>55000</v>
      </c>
      <c r="H154" s="6" t="n">
        <f aca="false">+G154*19%</f>
        <v>10450</v>
      </c>
      <c r="I154" s="6" t="n">
        <f aca="false">+G154+H154</f>
        <v>65450</v>
      </c>
      <c r="J154" s="12"/>
      <c r="K154" s="12" t="n">
        <f aca="false">+J154*19%</f>
        <v>0</v>
      </c>
      <c r="L154" s="12" t="n">
        <f aca="false">+J154+K154</f>
        <v>0</v>
      </c>
      <c r="M154" s="12"/>
      <c r="N154" s="12" t="n">
        <f aca="false">+M154*19%</f>
        <v>0</v>
      </c>
      <c r="O154" s="12" t="n">
        <f aca="false">+M154+N154</f>
        <v>0</v>
      </c>
    </row>
    <row r="155" customFormat="false" ht="14.25" hidden="false" customHeight="false" outlineLevel="0" collapsed="false">
      <c r="A155" s="4" t="s">
        <v>340</v>
      </c>
      <c r="B155" s="37" t="s">
        <v>341</v>
      </c>
      <c r="C155" s="38"/>
      <c r="D155" s="10"/>
      <c r="E155" s="10"/>
      <c r="F155" s="37" t="s">
        <v>30</v>
      </c>
      <c r="G155" s="6" t="n">
        <v>120000</v>
      </c>
      <c r="H155" s="6" t="n">
        <f aca="false">+G155*19%</f>
        <v>22800</v>
      </c>
      <c r="I155" s="6" t="n">
        <f aca="false">+G155+H155</f>
        <v>142800</v>
      </c>
      <c r="J155" s="7" t="n">
        <v>120000</v>
      </c>
      <c r="K155" s="7" t="n">
        <f aca="false">+J155*19%</f>
        <v>22800</v>
      </c>
      <c r="L155" s="7" t="n">
        <f aca="false">+J155+K155</f>
        <v>142800</v>
      </c>
      <c r="M155" s="7" t="n">
        <v>224588</v>
      </c>
      <c r="N155" s="7" t="n">
        <f aca="false">+M155*19%</f>
        <v>42671.72</v>
      </c>
      <c r="O155" s="7" t="n">
        <f aca="false">+M155+N155</f>
        <v>267259.72</v>
      </c>
    </row>
    <row r="156" customFormat="false" ht="14.25" hidden="false" customHeight="false" outlineLevel="0" collapsed="false">
      <c r="A156" s="4" t="s">
        <v>322</v>
      </c>
      <c r="B156" s="10"/>
      <c r="C156" s="38"/>
      <c r="D156" s="10"/>
      <c r="E156" s="10"/>
      <c r="F156" s="10"/>
      <c r="G156" s="6" t="n">
        <v>60000</v>
      </c>
      <c r="H156" s="6" t="n">
        <f aca="false">+G156*19%</f>
        <v>11400</v>
      </c>
      <c r="I156" s="6" t="n">
        <f aca="false">+G156+H156</f>
        <v>71400</v>
      </c>
      <c r="J156" s="11" t="n">
        <v>70000</v>
      </c>
      <c r="K156" s="7" t="n">
        <f aca="false">+J156*19%</f>
        <v>13300</v>
      </c>
      <c r="L156" s="7" t="n">
        <f aca="false">+J156+K156</f>
        <v>83300</v>
      </c>
      <c r="M156" s="11" t="n">
        <v>164750</v>
      </c>
      <c r="N156" s="7" t="n">
        <f aca="false">+M156*19%</f>
        <v>31302.5</v>
      </c>
      <c r="O156" s="7" t="n">
        <f aca="false">+M156+N156</f>
        <v>196052.5</v>
      </c>
    </row>
    <row r="157" customFormat="false" ht="14.25" hidden="false" customHeight="false" outlineLevel="0" collapsed="false">
      <c r="A157" s="39"/>
      <c r="B157" s="40"/>
      <c r="C157" s="41"/>
      <c r="D157" s="40"/>
      <c r="E157" s="40"/>
      <c r="F157" s="40" t="s">
        <v>342</v>
      </c>
      <c r="G157" s="42" t="n">
        <v>1200000</v>
      </c>
      <c r="H157" s="42" t="n">
        <f aca="false">+G157*19%</f>
        <v>228000</v>
      </c>
      <c r="I157" s="42" t="n">
        <f aca="false">+G157+H157</f>
        <v>1428000</v>
      </c>
    </row>
    <row r="158" customFormat="false" ht="14.25" hidden="false" customHeight="false" outlineLevel="0" collapsed="false">
      <c r="A158" s="39"/>
      <c r="B158" s="40"/>
      <c r="C158" s="41"/>
      <c r="D158" s="40"/>
      <c r="E158" s="40"/>
      <c r="F158" s="40" t="s">
        <v>8</v>
      </c>
      <c r="G158" s="42" t="n">
        <f aca="false">SUM(G2:G157)</f>
        <v>16510000</v>
      </c>
      <c r="H158" s="42" t="n">
        <f aca="false">SUM(H2:H157)</f>
        <v>2981100</v>
      </c>
      <c r="I158" s="42" t="n">
        <f aca="false">SUM(I2:I157)</f>
        <v>18671100</v>
      </c>
      <c r="J158" s="43" t="n">
        <f aca="false">SUM(J2:J157)</f>
        <v>13765000</v>
      </c>
      <c r="K158" s="43" t="n">
        <f aca="false">SUM(K2:K157)</f>
        <v>2615350</v>
      </c>
      <c r="L158" s="43" t="n">
        <f aca="false">SUM(L2:L157)</f>
        <v>16380350</v>
      </c>
      <c r="M158" s="43" t="n">
        <f aca="false">SUM(M2:M157)</f>
        <v>25750988.8571429</v>
      </c>
      <c r="N158" s="43" t="n">
        <f aca="false">SUM(N2:N157)</f>
        <v>4892687.88285714</v>
      </c>
      <c r="O158" s="43" t="n">
        <f aca="false">SUM(O2:O157)</f>
        <v>30643676.74</v>
      </c>
    </row>
    <row r="160" customFormat="false" ht="14.25" hidden="false" customHeight="false" outlineLevel="0" collapsed="false">
      <c r="A160" s="0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2026-10-07T16:24:59Z</dcterms:created>
  <dc:creator>USUARIO</dc:creator>
  <dc:description/>
  <dc:language>en-US</dc:language>
  <cp:lastModifiedBy>USUARIO</cp:lastModifiedBy>
  <dcterms:modified xsi:type="dcterms:W3CDTF">2026-10-07T16:30:54Z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